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Comparativo" sheetId="2" r:id="rId2"/>
    <sheet name="Materialidade" sheetId="3" r:id="rId3"/>
    <sheet name="Riscos" sheetId="4" r:id="rId4"/>
    <sheet name="Testes" sheetId="5" r:id="rId5"/>
    <sheet name="Fontes" sheetId="6" r:id="rId6"/>
    <sheet name="Cobertura NBC TA" sheetId="7" r:id="rId7"/>
  </sheets>
  <definedNames>
    <definedName name="_xlnm._FilterDatabase" localSheetId="6" hidden="1">'Cobertura NBC TA'!$A$3:$G$30</definedName>
    <definedName name="_xlnm._FilterDatabase" localSheetId="1" hidden="1">Comparativo!$A$3:$E$22</definedName>
    <definedName name="_xlnm._FilterDatabase" localSheetId="3" hidden="1">Riscos!$A$3:$I$22</definedName>
  </definedNames>
  <calcPr calcId="124519" fullCalcOnLoad="1"/>
</workbook>
</file>

<file path=xl/sharedStrings.xml><?xml version="1.0" encoding="utf-8"?>
<sst xmlns="http://schemas.openxmlformats.org/spreadsheetml/2006/main" count="505" uniqueCount="401">
  <si>
    <t>Dossiê Acadêmico de Auditoria — SIMPAR 2025</t>
  </si>
  <si>
    <t>Período</t>
  </si>
  <si>
    <t>Exercício findo em 31/12/2025; comparativo 2024.</t>
  </si>
  <si>
    <t>Unidade pública</t>
  </si>
  <si>
    <t>R$ mil, salvo indicação contrária.</t>
  </si>
  <si>
    <t>Proveniência</t>
  </si>
  <si>
    <t>Cifras conferidas em demonstrações publicadas 2025/2024; cópia recuperada por reprodução jornalística; protocolo e metadados da DFP da CVM conferidos.</t>
  </si>
  <si>
    <t>Limitação</t>
  </si>
  <si>
    <t>Não é auditoria, não emite opinião e não teve acesso a razão, cadastro de ativo ou papéis de auditores.</t>
  </si>
  <si>
    <t>Base sintética</t>
  </si>
  <si>
    <t>CSV 500.000 linhas; integralmente artificial; seed 241003357; 12 anomalias deliberadas; não corresponde a SIMPAR.</t>
  </si>
  <si>
    <t>Materialidade</t>
  </si>
  <si>
    <t>0,5% da receita consolidada; execução 75% e trivial 5%. Julgamento preliminar, não exigência normativa.</t>
  </si>
  <si>
    <t>Guia</t>
  </si>
  <si>
    <t>Use Comparativo, Materialidade, Riscos e Testes. Bases volumosas ficam nos CSV externos, não embutidas nesta pasta de trabalho.</t>
  </si>
  <si>
    <t>Demonstrações consolidadas e análise horizontal</t>
  </si>
  <si>
    <t>Indicador</t>
  </si>
  <si>
    <t>2025 (R$ mil)</t>
  </si>
  <si>
    <t>2024 (R$ mil)</t>
  </si>
  <si>
    <t>Variação (R$ mil)</t>
  </si>
  <si>
    <t>Variação %</t>
  </si>
  <si>
    <t>Ativo total</t>
  </si>
  <si>
    <t>Imobilizado líquido</t>
  </si>
  <si>
    <t>Receita líquida</t>
  </si>
  <si>
    <t>Lucro líquido do exercício</t>
  </si>
  <si>
    <t>Lucro de operações continuadas</t>
  </si>
  <si>
    <t>Lucro antes de IR/CS</t>
  </si>
  <si>
    <t>Caixa e equivalentes</t>
  </si>
  <si>
    <t>Empréstimos, financiamentos e debêntures — curto prazo</t>
  </si>
  <si>
    <t>Empréstimos, financiamentos e debêntures — longo prazo</t>
  </si>
  <si>
    <t>Arrendamentos por direito de uso — curto prazo</t>
  </si>
  <si>
    <t>Arrendamentos por direito de uso — longo prazo</t>
  </si>
  <si>
    <t>Fluxo operacional líquido</t>
  </si>
  <si>
    <t>Fluxo de investimento líquido</t>
  </si>
  <si>
    <t>Fluxo de financiamento líquido</t>
  </si>
  <si>
    <t>Variação de caixa líquida</t>
  </si>
  <si>
    <t>Patrimônio líquido consolidado</t>
  </si>
  <si>
    <t>Estoques</t>
  </si>
  <si>
    <t>Contas a receber</t>
  </si>
  <si>
    <t>Provisão para demandas judiciais e administrativas</t>
  </si>
  <si>
    <t>Materialidade preliminar — julgamento acadêmico</t>
  </si>
  <si>
    <t>Parâmetro</t>
  </si>
  <si>
    <t>R$ mil</t>
  </si>
  <si>
    <t>Base/justificativa</t>
  </si>
  <si>
    <t>Benchmark: receita líquida</t>
  </si>
  <si>
    <t>Consolidada 2025; unidade da DFP.</t>
  </si>
  <si>
    <t>Percentual global</t>
  </si>
  <si>
    <t>Percentual escolhido para discussão, não prescrito pela norma.</t>
  </si>
  <si>
    <t>Materialidade global</t>
  </si>
  <si>
    <t>Receita × 0,5%.</t>
  </si>
  <si>
    <t>Materialidade de execução</t>
  </si>
  <si>
    <t>75% da materialidade global.</t>
  </si>
  <si>
    <t>Limite claramente trivial</t>
  </si>
  <si>
    <t>5% da materialidade global.</t>
  </si>
  <si>
    <t>Alternativa: 0,5% ativo total</t>
  </si>
  <si>
    <t>Sensibilidade ao benchmark.</t>
  </si>
  <si>
    <t>Alternativa: 5% lucro antes de IR/CS</t>
  </si>
  <si>
    <t>Mais volátil, sensibilidade.</t>
  </si>
  <si>
    <t>Alternativa: 1% patrimônio líquido</t>
  </si>
  <si>
    <t>Sensibilidade.</t>
  </si>
  <si>
    <t>Matriz preliminar de riscos e respostas propostas</t>
  </si>
  <si>
    <t>Ciclo</t>
  </si>
  <si>
    <t>Risco</t>
  </si>
  <si>
    <t>Afirmações</t>
  </si>
  <si>
    <t>Probabilidade</t>
  </si>
  <si>
    <t>Impacto</t>
  </si>
  <si>
    <t>Resposta planejada</t>
  </si>
  <si>
    <t>Evidência requerida</t>
  </si>
  <si>
    <t>NBC TA</t>
  </si>
  <si>
    <t>Status</t>
  </si>
  <si>
    <t>Imobilizado</t>
  </si>
  <si>
    <t>Existência de frota/equipamentos</t>
  </si>
  <si>
    <t>Existência</t>
  </si>
  <si>
    <t>Alta</t>
  </si>
  <si>
    <t>Alto</t>
  </si>
  <si>
    <t>Planejar observação física e inspeção por amostra; rastrear do cadastro ao ativo e do ativo ao cadastro.</t>
  </si>
  <si>
    <t>Cadastro patrimonial, etiquetas, inspeções, confirmações de custódia</t>
  </si>
  <si>
    <t>NBC TA 315/330/500/501/530</t>
  </si>
  <si>
    <t>Planejado</t>
  </si>
  <si>
    <t>Direito de propriedade ou arrendamento</t>
  </si>
  <si>
    <t>Direitos e obrigações</t>
  </si>
  <si>
    <t>Média</t>
  </si>
  <si>
    <t>Examinar títulos, contratos de aquisição/arrendamento, gravames e reconciliação com nota de leasing.</t>
  </si>
  <si>
    <t>Notas fiscais, contratos, CRLV/títulos, contratos de arrendamento</t>
  </si>
  <si>
    <t>NBC TA 500/540/550</t>
  </si>
  <si>
    <t>Adições e baixas omitidas ou incorretas</t>
  </si>
  <si>
    <t>Integridade, ocorrência, corte</t>
  </si>
  <si>
    <t>Testar transações selecionadas, aprovações, documento de suporte, data de entrada em operação, alienação e baixa.</t>
  </si>
  <si>
    <t>Razão, notas fiscais, contratos, aprovação, comprovante de recebimento</t>
  </si>
  <si>
    <t>NBC TA 315/330/500/530</t>
  </si>
  <si>
    <t>Depreciação, vida útil e valor residual</t>
  </si>
  <si>
    <t>Avaliação/alocação</t>
  </si>
  <si>
    <t>Recalcular amostra; confrontar políticas, disponibilidade para uso, vida útil e residuais; análise retrospectiva.</t>
  </si>
  <si>
    <t>Cadastro, política, laudos e recálculo</t>
  </si>
  <si>
    <t>NBC TA 540/330</t>
  </si>
  <si>
    <t>Impairment e ativos ociosos</t>
  </si>
  <si>
    <t>Avaliação</t>
  </si>
  <si>
    <t>Identificar indicadores, testar premissas e sensibilidade; inspecionar ativos parados e analisar unidades geradoras de caixa.</t>
  </si>
  <si>
    <t>Planilhas de impairment, orçamento, utilização e laudos</t>
  </si>
  <si>
    <t>NBC TA 540/315/330</t>
  </si>
  <si>
    <t>Ativos arrendados e classificação</t>
  </si>
  <si>
    <t>Direitos, avaliação, apresentação</t>
  </si>
  <si>
    <t>Conciliar cadastro de direito de uso e passivos, contratos, taxas, prazos e alterações.</t>
  </si>
  <si>
    <t>Contratos, sistema de leases, cálculos e notas</t>
  </si>
  <si>
    <t>NBC TA 540/500</t>
  </si>
  <si>
    <t>Receita</t>
  </si>
  <si>
    <t>Reconhecimento/ocorrência e corte</t>
  </si>
  <si>
    <t>Ocorrência, corte, precisão</t>
  </si>
  <si>
    <t>Testar contratos, evidência de prestação/entrega, faturamento e transações antes/depois do fechamento.</t>
  </si>
  <si>
    <t>Contratos, ordem/aceite, NF, faturamento e recebimentos subsequentes</t>
  </si>
  <si>
    <t>NBC TA 240/315/330/500/530</t>
  </si>
  <si>
    <t>Integridade, cancelamentos e notas de crédito</t>
  </si>
  <si>
    <t>Integridade, precisão</t>
  </si>
  <si>
    <t>Testar população de notas de crédito, estornos, lançamentos manuais e operações não usuais.</t>
  </si>
  <si>
    <t>Razão, notas de crédito, logs, autorização</t>
  </si>
  <si>
    <t>NBC TA 240/500/520/530</t>
  </si>
  <si>
    <t>Mensuração de perdas esperadas</t>
  </si>
  <si>
    <t>Reconciliar aging, eventos subsequentes, premissas e histórico; testar cálculo e sensibilidade.</t>
  </si>
  <si>
    <t>Aging, cobranças, histórico, modelo de perdas</t>
  </si>
  <si>
    <t>Caixa</t>
  </si>
  <si>
    <t>Existência, direitos e restrições</t>
  </si>
  <si>
    <t>Existência, direitos, apresentação</t>
  </si>
  <si>
    <t>Baixa</t>
  </si>
  <si>
    <t>Confirmações bancárias sob controle do auditor, extratos independentes, conciliações e análise de restrições.</t>
  </si>
  <si>
    <t>Confirmações, extratos, conciliações, contratos de garantia</t>
  </si>
  <si>
    <t>NBC TA 505/500/330</t>
  </si>
  <si>
    <t>Existência e condição</t>
  </si>
  <si>
    <t>Existência, integridade</t>
  </si>
  <si>
    <t>Médio</t>
  </si>
  <si>
    <t>Participar de contagem, selecionar itens e executar contagens de teste; estoque com terceiros.</t>
  </si>
  <si>
    <t>Instruções de inventário, folhas de contagem, confirmações</t>
  </si>
  <si>
    <t>NBC TA 501/500/530</t>
  </si>
  <si>
    <t>Avaliação e obsolescência</t>
  </si>
  <si>
    <t>Testar custo/valor realizável líquido, idade e movimentação; corte de entradas/saídas.</t>
  </si>
  <si>
    <t>Notas, custo, aging, vendas subsequentes</t>
  </si>
  <si>
    <t>NBC TA 501/540</t>
  </si>
  <si>
    <t>Dívida</t>
  </si>
  <si>
    <t>Integridade, vencimentos e classificação</t>
  </si>
  <si>
    <t>Integridade, obrigação, classificação</t>
  </si>
  <si>
    <t>Confirmar credores, inspecionar contratos, covenants, garantias, pagamentos posteriores e classificação.</t>
  </si>
  <si>
    <t>Confirmações, contratos, cronograma, certificados de covenant</t>
  </si>
  <si>
    <t>NBC TA 505/500/315/330</t>
  </si>
  <si>
    <t>Arrendamentos</t>
  </si>
  <si>
    <t>Integridade e mensuração</t>
  </si>
  <si>
    <t>Integridade, avaliação</t>
  </si>
  <si>
    <t>Reconciliar universo contratual, identificar contratos omitidos, testar taxas/prazos e pagamentos.</t>
  </si>
  <si>
    <t>Cadastro de contratos, sistema, pagamentos, cálculos</t>
  </si>
  <si>
    <t>NBC TA 540/500/330</t>
  </si>
  <si>
    <t>Passivos</t>
  </si>
  <si>
    <t>Passivos não registrados</t>
  </si>
  <si>
    <t>Integridade</t>
  </si>
  <si>
    <t>Busca por pagamentos subsequentes, faturas posteriores, contratos, atas e recebimentos pré-fechamento.</t>
  </si>
  <si>
    <t>Extratos pós-fechamento, razão, faturas, atas e contratos</t>
  </si>
  <si>
    <t>NBC TA 330/500/520</t>
  </si>
  <si>
    <t>Estimativas</t>
  </si>
  <si>
    <t>Provisões judiciais e administrativas</t>
  </si>
  <si>
    <t>Integralidade, avaliação, divulgação</t>
  </si>
  <si>
    <t>Obter relação legal completa, circularizar assessores, examinar processos, premissas e eventos subsequentes.</t>
  </si>
  <si>
    <t>Cartas legais, processos, atas, cálculo da provisão</t>
  </si>
  <si>
    <t>NBC TA 501/505/540/560</t>
  </si>
  <si>
    <t>Partes relacionadas</t>
  </si>
  <si>
    <t>Completude de relações e transações</t>
  </si>
  <si>
    <t>Integridade, ocorrência, divulgação</t>
  </si>
  <si>
    <t>Inspecionar cadastros, atas, declarações, transações intragrupo e eliminações.</t>
  </si>
  <si>
    <t>Cadastro, organograma, atas, contratos, razão e confirmações</t>
  </si>
  <si>
    <t>NBC TA 550/600</t>
  </si>
  <si>
    <t>Consolidação</t>
  </si>
  <si>
    <t>Universo de componentes e consolidação</t>
  </si>
  <si>
    <t>Completude, precisão, apresentação</t>
  </si>
  <si>
    <t>Verificar lista de componentes, pacotes, uniformidade, eliminações, PNC e comunicações com auditores.</t>
  </si>
  <si>
    <t>Organograma, balancetes, pacotes, reconciliações, instruções</t>
  </si>
  <si>
    <t>NBC TA 600/550</t>
  </si>
  <si>
    <t>Continuidade</t>
  </si>
  <si>
    <t>Liquidez, dívida, refinanciamento e covenants</t>
  </si>
  <si>
    <t>Apresentação/divulgação</t>
  </si>
  <si>
    <t>Analisar vencimentos, caixa, fluxos, cenários, covenants, planos e disclosures; considerar fatos subsequentes.</t>
  </si>
  <si>
    <t>Forecast, contratos, cartas de bancos, covenant certificates, atas</t>
  </si>
  <si>
    <t>NBC TA 570/560/580</t>
  </si>
  <si>
    <t>Pendente</t>
  </si>
  <si>
    <t>Validação da base sintética — não são achados da SIMPAR</t>
  </si>
  <si>
    <t>Regra</t>
  </si>
  <si>
    <t>Inseridas</t>
  </si>
  <si>
    <t>Detectadas</t>
  </si>
  <si>
    <t>Interpretação</t>
  </si>
  <si>
    <t>depreciacao_acumulada_maior_que_custo</t>
  </si>
  <si>
    <t>Dados artificiais; regras deliberadamente inseridas para teste de código.</t>
  </si>
  <si>
    <t>vida_util_zero</t>
  </si>
  <si>
    <t>ativo_baixado_com_valor_liquido_positivo</t>
  </si>
  <si>
    <t>data_disponivel_futura</t>
  </si>
  <si>
    <t>localizacao_ausente</t>
  </si>
  <si>
    <t>depreciacao_negativa</t>
  </si>
  <si>
    <t>identificador_duplicado</t>
  </si>
  <si>
    <t>valor_residual_maior_que_custo</t>
  </si>
  <si>
    <t>Fontes e ressalvas</t>
  </si>
  <si>
    <t>ID</t>
  </si>
  <si>
    <t>Título</t>
  </si>
  <si>
    <t>Instituição</t>
  </si>
  <si>
    <t>URL</t>
  </si>
  <si>
    <t>Status/limitação</t>
  </si>
  <si>
    <t>F1</t>
  </si>
  <si>
    <t>DFP 2025 — SIMPAR S.A., consolidadas, exercício encerrado em 31/12/2025</t>
  </si>
  <si>
    <t>CVM / RAD ENET</t>
  </si>
  <si>
    <t>https://www.rad.cvm.gov.br/ENET/frmGerenciaPaginaFRE.aspx?CodigoTipoInstituicao=1&amp;NumeroSequencialDocumento=155854</t>
  </si>
  <si>
    <t>Público verificado para metadados; valores conferidos em cópia reproduzida; páginas/nota CVM original pendentes.</t>
  </si>
  <si>
    <t>F2</t>
  </si>
  <si>
    <t>Demonstrações financeiras publicadas em 31/03/2026, comparativo 2025/2024</t>
  </si>
  <si>
    <t>SIMPAR S.A. / reprodução jornalística em O Estado de S. Paulo</t>
  </si>
  <si>
    <t>https://estadaori.estadao.com.br/wp-content/uploads/2026/03/simpar-sa-balanco-2026-03-31_07-36-21.pdf</t>
  </si>
  <si>
    <t>Público consultado; opinião resumida indicada como sem modificação, mas relatório integral e PDF RAD original pendentes.</t>
  </si>
  <si>
    <t>F3</t>
  </si>
  <si>
    <t>DFP 2024 — SIMPAR S.A.</t>
  </si>
  <si>
    <t>https://www.rad.cvm.gov.br/ENET/frmGerenciaPaginaFRE.aspx?CodigoTipoInstituicao=1&amp;NumeroSequencialDocumento=146257</t>
  </si>
  <si>
    <t>Público verificado para metadados; tabela integral RAD não carregou nesta consulta.</t>
  </si>
  <si>
    <t>F4</t>
  </si>
  <si>
    <t>Relatório Anual Integrado 2025</t>
  </si>
  <si>
    <t>SIMPAR S.A.</t>
  </si>
  <si>
    <t>https://simpar.com.br/wp-content/uploads/2026/09/Relatorio-Anual-Integrado-2025.pdf</t>
  </si>
  <si>
    <t>Público verificado; informações do relatório anual não são evidência de saldos do razão.</t>
  </si>
  <si>
    <t>F5</t>
  </si>
  <si>
    <t>NBC TA — Auditoria Independente de Informação Contábil Histórica</t>
  </si>
  <si>
    <t>CFC</t>
  </si>
  <si>
    <t>https://cfc.org.br/tecnica/normas-brasileiras-de-contabilidade/nbc-ta-de-auditoria-independente/</t>
  </si>
  <si>
    <t>Público verificado; consultar texto integral quando disponível.</t>
  </si>
  <si>
    <t>F6</t>
  </si>
  <si>
    <t>NBC TA 240 (R2) — Resolução CFC 2026/NBCTA240(R2)</t>
  </si>
  <si>
    <t>https://www2.cfc.org.br/sisweb/sre/detalhes_sre.aspx?Codigo=2026/NBCTA240%28R2%29&amp;arquivo=NBCTA240%28R2%29.docx</t>
  </si>
  <si>
    <t>Público verificado; versão anterior aplicável ao período 2025 é NBC TA 240 (R1).</t>
  </si>
  <si>
    <t>F7</t>
  </si>
  <si>
    <t>NBC TA 570 (R1) — Resolução CFC 2026/NBCTA570(R1)</t>
  </si>
  <si>
    <t>https://www2.cfc.org.br/sisweb/sre/detalhes_sre.aspx?Codigo=2026/NBCTA570%28R1%29&amp;arquivo=NBCTA570%28R1%29.docx</t>
  </si>
  <si>
    <t>Público verificado; confirmar itens de vigência do texto integral antes da versão acadêmica final.</t>
  </si>
  <si>
    <t>F8</t>
  </si>
  <si>
    <t>NBC TA 600 (R2) — Resolução CFC 2023/NBCTA600(R2)</t>
  </si>
  <si>
    <t>https://www2.cfc.org.br/sisweb/sre/detalhes_sre.aspx?Codigo=2023/NBCTA600%28R2%29&amp;arquivo=NBC%20TA%20600%20%28R2%29.doc</t>
  </si>
  <si>
    <t>Público verificado; procedimentos de grupo não foram executados.</t>
  </si>
  <si>
    <t>Cobertura normativa — status e fontes oficiais</t>
  </si>
  <si>
    <t>Código</t>
  </si>
  <si>
    <t>Norma/revisão</t>
  </si>
  <si>
    <t>Versão aplicável</t>
  </si>
  <si>
    <t>Requisitos/objetivo</t>
  </si>
  <si>
    <t>Aplicação SIMPAR</t>
  </si>
  <si>
    <t>Fonte CFC</t>
  </si>
  <si>
    <t>EC</t>
  </si>
  <si>
    <t>Estrutura Conceitual para Trabalhos de Asseguração</t>
  </si>
  <si>
    <t>Estrutura CFC/IFAC; referência conceitual</t>
  </si>
  <si>
    <t>Entendimento do objeto, critérios, evidência, relatório e pré-condições do trabalho</t>
  </si>
  <si>
    <t>Objetividade e clareza da finalidade; distinguir análise acadêmica de asseguração</t>
  </si>
  <si>
    <t>Público verificado / planejado</t>
  </si>
  <si>
    <t>https://cfc.org.br/tecnica/normas-brasileiras-de-contabilidade/</t>
  </si>
  <si>
    <t>200</t>
  </si>
  <si>
    <t>NBC TA 200 (R1)</t>
  </si>
  <si>
    <t>R1; vigente no período</t>
  </si>
  <si>
    <t>Objetivo geral, segurança razoável, risco de auditoria e ceticismo profissional</t>
  </si>
  <si>
    <t>Não emitir opinião sem evidência suficiente/apropriada; riscos sobre afirmações e demonstrações</t>
  </si>
  <si>
    <t>Planejado / pendente</t>
  </si>
  <si>
    <t>https://www2.cfc.org.br/sisweb/sre/detalhes_sre.aspx?Codigo=2016/NBCTA200%28R1%29</t>
  </si>
  <si>
    <t>210</t>
  </si>
  <si>
    <t>NBC TA 210 (R1)</t>
  </si>
  <si>
    <t>Condições prévias e termos do trabalho</t>
  </si>
  <si>
    <t>Aceitação, estrutura contábil, responsabilidades e carta de contratação não avaliadas neste exercício acadêmico</t>
  </si>
  <si>
    <t>https://www2.cfc.org.br/sisweb/sre/detalhes_sre.aspx?Codigo=2016/NBCTA210%28R1%29</t>
  </si>
  <si>
    <t>220</t>
  </si>
  <si>
    <t>NBC TA 220 (R3)</t>
  </si>
  <si>
    <t>R3; vigente no período</t>
  </si>
  <si>
    <t>Gestão da qualidade no trabalho, liderança, direção, supervisão, revisão e recursos</t>
  </si>
  <si>
    <t>Não há equipe de auditoria, consulta interna nem revisor independente neste dossiê</t>
  </si>
  <si>
    <t>Pendente / didático</t>
  </si>
  <si>
    <t>https://www2.cfc.org.br/sisweb/sre/detalhes_sre.aspx?Codigo=2021/NBCTA220%28R3%29</t>
  </si>
  <si>
    <t>230</t>
  </si>
  <si>
    <t>NBC TA 230 (R1)</t>
  </si>
  <si>
    <t>Documentação tempestiva e suficiente de procedimentos, evidência, julgamentos e conclusões</t>
  </si>
  <si>
    <t>Registro rastreável inclui scripts, fontes, resultados e status; não substitui arquivo profissional de auditoria</t>
  </si>
  <si>
    <t>Público verificado / simulado</t>
  </si>
  <si>
    <t>https://www2.cfc.org.br/sisweb/sre/detalhes_sre.aspx?Codigo=2016/NBCTA230%28R1%29</t>
  </si>
  <si>
    <t>240</t>
  </si>
  <si>
    <t>NBC TA 240 (R1)</t>
  </si>
  <si>
    <t>R1 aplicável ao exercício iniciado em 2025; R2 publicada 25/09/2026 com aplicação futura a períodos iniciados a partir de 01/01/2027</t>
  </si>
  <si>
    <t>Responsabilidade por fraude, discussão da equipe, procedimentos, respostas, lançamentos e presunção de risco de fraude em receita, salvo justificativa</t>
  </si>
  <si>
    <t>Receita de R$ 43.528.375 mil; risco de override e corte tratado como planejamento, não achado</t>
  </si>
  <si>
    <t>Planejado; R2 futura</t>
  </si>
  <si>
    <t>https://www2.cfc.org.br/sisweb/sre/detalhes_sre.aspx?Codigo=2016/NBCTA240%28R1%29</t>
  </si>
  <si>
    <t>250</t>
  </si>
  <si>
    <t>NBC TA 250</t>
  </si>
  <si>
    <t>Versão vigente listada pelo CFC para 2025</t>
  </si>
  <si>
    <t>Considerar leis e regulamentos e responder a não conformidade identificada/suspeita</t>
  </si>
  <si>
    <t>Regulação de concessões, ambiente, trânsito, societária e tributária exigem mapeamento com especialistas; não houve procedimentos legais</t>
  </si>
  <si>
    <t>https://www2.cfc.org.br/sisweb/sre/detalhes_sre.aspx?Codigo=2019/NBCTA250</t>
  </si>
  <si>
    <t>260</t>
  </si>
  <si>
    <t>NBC TA 260 (R2)</t>
  </si>
  <si>
    <t>R2; vigente no período</t>
  </si>
  <si>
    <t>Comunicações bidirecionais com governança sobre escopo, achados e independência</t>
  </si>
  <si>
    <t>Comitê de Auditoria e Conselho são governança; comunicação não ocorreu neste trabalho</t>
  </si>
  <si>
    <t>Planejado / não executado</t>
  </si>
  <si>
    <t>https://cfc.org.br/wp-content/uploads/2026/06/NBCTA260-R2-2.pdf</t>
  </si>
  <si>
    <t>265</t>
  </si>
  <si>
    <t>NBC TA 265</t>
  </si>
  <si>
    <t>Versão vigente listada pelo CFC</t>
  </si>
  <si>
    <t>Comunicar deficiências de controle interno identificadas e significativas em tempo apropriado</t>
  </si>
  <si>
    <t>Sem testes de controle interno; não há deficiências identificadas neste dossiê</t>
  </si>
  <si>
    <t>https://www2.cfc.org.br/sisweb/sre/detalhes_sre.aspx?Codigo=2009/001210</t>
  </si>
  <si>
    <t>300</t>
  </si>
  <si>
    <t>NBC TA 300 (R1)</t>
  </si>
  <si>
    <t>Planejamento geral, estratégia global e plano de auditoria</t>
  </si>
  <si>
    <t>Grupos de negócio diversos e ativos intensivos pedem plano por ciclo; papel acadêmico não é plano de auditoria firmado</t>
  </si>
  <si>
    <t>https://www2.cfc.org.br/sisweb/sre/detalhes_sre.aspx?Codigo=2016/NBCTA300%28R1%29</t>
  </si>
  <si>
    <t>315</t>
  </si>
  <si>
    <t>NBC TA 315 (R2)</t>
  </si>
  <si>
    <t>Entendimento da entidade/sistema, identificação e avaliação de riscos inerentes e controles</t>
  </si>
  <si>
    <t>Complexidade do grupo, imobilizado, leases, receita, TI, estimativas e consolidação; sem acesso a controles internos</t>
  </si>
  <si>
    <t>Preliminar público; pendente interno</t>
  </si>
  <si>
    <t>https://www2.cfc.org.br/sisweb/sre/detalhes_sre.aspx?Codigo=2021/NBCTA315%28R2%29</t>
  </si>
  <si>
    <t>320</t>
  </si>
  <si>
    <t>NBC TA 320 (R1)</t>
  </si>
  <si>
    <t>Materialidade global, de execução e revisão conforme evidência</t>
  </si>
  <si>
    <t>0,5% da receita é julgamento acadêmico; sensibilidade documentada no anexo</t>
  </si>
  <si>
    <t>Simulado/cálculo público</t>
  </si>
  <si>
    <t>https://www2.cfc.org.br/sisweb/sre/detalhes_sre.aspx?Codigo=2016/NBCTA320%28R1%29</t>
  </si>
  <si>
    <t>330</t>
  </si>
  <si>
    <t>NBC TA 330 (R1)</t>
  </si>
  <si>
    <t>Respostas globais e procedimentos adicionais vinculados aos riscos avaliados</t>
  </si>
  <si>
    <t>Testes de imobilizado, receita, dívida, caixa, inventário e consolidação planejados; nenhum proced. substantivo interno executado</t>
  </si>
  <si>
    <t>https://www2.cfc.org.br/sisweb/sre/detalhes_sre.aspx?Codigo=2016/NBCTA330%28R1%29</t>
  </si>
  <si>
    <t>402</t>
  </si>
  <si>
    <t>NBC TA 402</t>
  </si>
  <si>
    <t>Considerar serviço de organização prestadora de serviços utilizada pela entidade</t>
  </si>
  <si>
    <t>Mapear terceirização e service organizations por sistemas/processos; identidade e relatórios de controle não obtidos</t>
  </si>
  <si>
    <t>https://www2.cfc.org.br/sisweb/sre/detalhes_sre.aspx?Codigo=2009/001215</t>
  </si>
  <si>
    <t>450</t>
  </si>
  <si>
    <t>NBC TA 450 (R1)</t>
  </si>
  <si>
    <t>Acumular/avaliar distorções, comunicar/corrigir e avaliar não corrigidas</t>
  </si>
  <si>
    <t>Não foram encontradas distorções em DFP; nenhum teste substantivo interno; exceções da base são artificiais</t>
  </si>
  <si>
    <t>Pendente / simulado</t>
  </si>
  <si>
    <t>https://www2.cfc.org.br/sisweb/sre/detalhes_sre.aspx?Codigo=2016/NBCTA450%28R1%29</t>
  </si>
  <si>
    <t>500</t>
  </si>
  <si>
    <t>NBC TA 500 (R1)</t>
  </si>
  <si>
    <t>Suficiência e adequação da evidência; confiabilidade, relevância e avaliação de informação produzida pela entidade</t>
  </si>
  <si>
    <t>Cifras públicas confirmam divulgação, não saldo subjacente; requer suporte, completude e confiabilidade</t>
  </si>
  <si>
    <t>Público verificado / pendente</t>
  </si>
  <si>
    <t>https://www2.cfc.org.br/sisweb/sre/detalhes_sre.aspx?Codigo=2016/NBCTA500%28R1%29</t>
  </si>
  <si>
    <t>501</t>
  </si>
  <si>
    <t>NBC TA 501</t>
  </si>
  <si>
    <t>Considerações específicas para estoque, litígios e informações por segmento</t>
  </si>
  <si>
    <t>Estoques de R$ 2.831.914 mil, provisões jurídicas de R$ 535.411 mil; contagem e cartas legais planejadas</t>
  </si>
  <si>
    <t>Público / planejado</t>
  </si>
  <si>
    <t>https://www2.cfc.org.br/sisweb/sre/detalhes_sre.aspx?Codigo=2009/001218</t>
  </si>
  <si>
    <t>505</t>
  </si>
  <si>
    <t>NBC TA 505</t>
  </si>
  <si>
    <t>Desenho, controle e avaliação de confirmações externas</t>
  </si>
  <si>
    <t>Confirmar caixa, dívida, assessoria jurídica, clientes/fornecedores pertinentes; nenhuma confirmação emitida</t>
  </si>
  <si>
    <t>https://www2.cfc.org.br/sisweb/sre/detalhes_sre.aspx?Codigo=2009/001219</t>
  </si>
  <si>
    <t>510</t>
  </si>
  <si>
    <t>NBC TA 510 (R1)</t>
  </si>
  <si>
    <t>Trabalho inicial e evidência sobre saldos iniciais, políticas e comparativos</t>
  </si>
  <si>
    <t>2024 é saldo comparativo; não há papéis de auditoria predecessor para abertura 2025</t>
  </si>
  <si>
    <t>https://www2.cfc.org.br/sisweb/sre/detalhes_sre.aspx?Codigo=2016/NBCTA510%28R1%29</t>
  </si>
  <si>
    <t>520</t>
  </si>
  <si>
    <t>NBC TA 520</t>
  </si>
  <si>
    <t>Procedimentos analíticos como avaliação substantiva e revisão final</t>
  </si>
  <si>
    <t>Variações 2024/2025 calculadas; ausência de expectativa detalhada/padrão setorial e decomposição de segmentos</t>
  </si>
  <si>
    <t>Público / analítico limitado</t>
  </si>
  <si>
    <t>https://www2.cfc.org.br/sisweb/sre/detalhes_sre.aspx?Codigo=2009/001221</t>
  </si>
  <si>
    <t>530</t>
  </si>
  <si>
    <t>NBC TA 530</t>
  </si>
  <si>
    <t>Desenho da amostra, seleção, execução, avaliação e extrapolação</t>
  </si>
  <si>
    <t>Amostra 100 e top 25 apenas para base sintética; população real e risco amostral não conhecidos</t>
  </si>
  <si>
    <t>Simulado exclusivamente</t>
  </si>
  <si>
    <t>https://www2.cfc.org.br/sisweb/sre/detalhes_sre.aspx?Codigo=2009/001222</t>
  </si>
  <si>
    <t>540</t>
  </si>
  <si>
    <t>NBC TA 540 (R2)</t>
  </si>
  <si>
    <t>Riscos de estimativas, método, pressupostos, dados, incerteza e viés</t>
  </si>
  <si>
    <t>Depreciação, impairment e perdas esperadas exigem dados internos; sem recálculo de estimativa real</t>
  </si>
  <si>
    <t>https://www2.cfc.org.br/sisweb/sre/detalhes_sre.aspx?Codigo=2019/NBCTA540%28R2%29</t>
  </si>
  <si>
    <t>550</t>
  </si>
  <si>
    <t>NBC TA 550</t>
  </si>
  <si>
    <t>Identificar/avaliar relações, transações e divulgações de partes relacionadas</t>
  </si>
  <si>
    <t>Holding, controladas e transações intragrupo; política divulgada, completude não testada</t>
  </si>
  <si>
    <t>Público / pendente</t>
  </si>
  <si>
    <t>https://www2.cfc.org.br/sisweb/sre/detalhes_sre.aspx?Codigo=2009/001224</t>
  </si>
  <si>
    <t>560</t>
  </si>
  <si>
    <t>NBC TA 560 (R1)</t>
  </si>
  <si>
    <t>Eventos entre data das demonstrações e relatório e fatos conhecidos posteriormente</t>
  </si>
  <si>
    <t>Pesquisar eventos posteriores, aumentos de capital, dívida, alienações; não obtido relatório do auditor</t>
  </si>
  <si>
    <t>https://www2.cfc.org.br/sisweb/sre/detalhes_sre.aspx?Codigo=2016/NBCTA560%28R1%29</t>
  </si>
  <si>
    <t>570</t>
  </si>
  <si>
    <t>NBC TA 570</t>
  </si>
  <si>
    <t>Versão anterior aplicável ao exercício iniciado em 2025; R1 publicada 25/09/2026 para períodos a partir de 01/01/2027</t>
  </si>
  <si>
    <t>Avaliar base de continuidade, incerteza relevante, planos e relato</t>
  </si>
  <si>
    <t>FCO negativo, dívida e caixa de holding requerem previsão, refinanciamento, covenant e estresse; evidência insuficiente</t>
  </si>
  <si>
    <t>Público verificado / pendente; R1 futura</t>
  </si>
  <si>
    <t>https://www2.cfc.org.br/sisweb/sre/detalhes_sre.aspx?Codigo=2016/NBCTA570</t>
  </si>
  <si>
    <t>580</t>
  </si>
  <si>
    <t>NBC TA 580 (R1)</t>
  </si>
  <si>
    <t>Obter representações formais apropriadas, sem substituir outras evidências</t>
  </si>
  <si>
    <t>Declaração escrita da administração seria necessária no trabalho real; não solicitada neste estudo</t>
  </si>
  <si>
    <t>https://www2.cfc.org.br/sisweb/sre/detalhes_sre.aspx?Codigo=2016/NBCTA580%28R1%29</t>
  </si>
  <si>
    <t>600</t>
  </si>
  <si>
    <t>NBC TA 600 (R2)</t>
  </si>
  <si>
    <t>R2; CFC confirma vigente desde publicação em 06/12/2023; aplicável ao período 2025</t>
  </si>
  <si>
    <t>Responsabilidade do sócio do grupo, aceitação/continuidade, estratégia, componentes, auditores de componentes e processo de consolidação</t>
  </si>
  <si>
    <t>Diversidade setorial e PNC R$ 2.898.181 mil pedem mapeamento por componente, materialidade, comunicação e revisão; procedimentos não executados</t>
  </si>
  <si>
    <t>https://www2.cfc.org.br/sisweb/sre/detalhes_sre.aspx?Codigo=2023/NBCTA600%28R2%29</t>
  </si>
</sst>
</file>

<file path=xl/styles.xml><?xml version="1.0" encoding="utf-8"?>
<styleSheet xmlns="http://schemas.openxmlformats.org/spreadsheetml/2006/main">
  <numFmts count="2">
    <numFmt numFmtId="164" formatCode="#,##0.0;[Red](#,##0.0);–"/>
    <numFmt numFmtId="165" formatCode="0.00%;[Red](0.00%);–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7A4A00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8324B"/>
        <bgColor indexed="64"/>
      </patternFill>
    </fill>
    <fill>
      <patternFill patternType="solid">
        <fgColor rgb="FF147D78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Saldos/fluxos principais — R$ mil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2025 (R$ mil)</c:v>
          </c:tx>
          <c:spPr>
            <a:solidFill>
              <a:srgbClr val="147D78"/>
            </a:solidFill>
          </c:spPr>
          <c:cat>
            <c:strRef>
              <c:f>Comparativo!$A$4:$A$9</c:f>
              <c:strCache>
                <c:ptCount val="6"/>
                <c:pt idx="0">
                  <c:v>Ativo total</c:v>
                </c:pt>
                <c:pt idx="1">
                  <c:v>Imobilizado líquido</c:v>
                </c:pt>
                <c:pt idx="2">
                  <c:v>Receita líquida</c:v>
                </c:pt>
                <c:pt idx="3">
                  <c:v>Lucro líquido do exercício</c:v>
                </c:pt>
                <c:pt idx="4">
                  <c:v>Lucro de operações continuadas</c:v>
                </c:pt>
                <c:pt idx="5">
                  <c:v>Lucro antes de IR/CS</c:v>
                </c:pt>
              </c:strCache>
            </c:strRef>
          </c:cat>
          <c:val>
            <c:numRef>
              <c:f>Comparativo!$B$4:$B$9</c:f>
              <c:numCache>
                <c:formatCode>General</c:formatCode>
                <c:ptCount val="6"/>
                <c:pt idx="0">
                  <c:v>88642122</c:v>
                </c:pt>
                <c:pt idx="1">
                  <c:v>47944350</c:v>
                </c:pt>
                <c:pt idx="2">
                  <c:v>43528375</c:v>
                </c:pt>
                <c:pt idx="3">
                  <c:v>212641</c:v>
                </c:pt>
                <c:pt idx="4">
                  <c:v>215250</c:v>
                </c:pt>
                <c:pt idx="5">
                  <c:v>254114</c:v>
                </c:pt>
              </c:numCache>
            </c:numRef>
          </c:val>
        </c:ser>
        <c:ser>
          <c:idx val="1"/>
          <c:order val="1"/>
          <c:tx>
            <c:v>2024 (R$ mil)</c:v>
          </c:tx>
          <c:spPr>
            <a:solidFill>
              <a:srgbClr val="8094AD"/>
            </a:solidFill>
          </c:spPr>
          <c:cat>
            <c:strRef>
              <c:f>Comparativo!$A$4:$A$9</c:f>
              <c:strCache>
                <c:ptCount val="6"/>
                <c:pt idx="0">
                  <c:v>Ativo total</c:v>
                </c:pt>
                <c:pt idx="1">
                  <c:v>Imobilizado líquido</c:v>
                </c:pt>
                <c:pt idx="2">
                  <c:v>Receita líquida</c:v>
                </c:pt>
                <c:pt idx="3">
                  <c:v>Lucro líquido do exercício</c:v>
                </c:pt>
                <c:pt idx="4">
                  <c:v>Lucro de operações continuadas</c:v>
                </c:pt>
                <c:pt idx="5">
                  <c:v>Lucro antes de IR/CS</c:v>
                </c:pt>
              </c:strCache>
            </c:strRef>
          </c:cat>
          <c:val>
            <c:numRef>
              <c:f>Comparativo!$C$4:$C$9</c:f>
              <c:numCache>
                <c:formatCode>General</c:formatCode>
                <c:ptCount val="6"/>
                <c:pt idx="0">
                  <c:v>84025791</c:v>
                </c:pt>
                <c:pt idx="1">
                  <c:v>46262499</c:v>
                </c:pt>
                <c:pt idx="2">
                  <c:v>40738086</c:v>
                </c:pt>
                <c:pt idx="3">
                  <c:v>93833</c:v>
                </c:pt>
                <c:pt idx="4">
                  <c:v>89071</c:v>
                </c:pt>
                <c:pt idx="5">
                  <c:v>404692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 mil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19050</xdr:colOff>
      <xdr:row>16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ad.cvm.gov.br/ENET/frmGerenciaPaginaFRE.aspx?CodigoTipoInstituicao=1&amp;NumeroSequencialDocumento=155854" TargetMode="External"/><Relationship Id="rId2" Type="http://schemas.openxmlformats.org/officeDocument/2006/relationships/hyperlink" Target="https://estadaori.estadao.com.br/wp-content/uploads/2026/03/simpar-sa-balanco-2026-03-31_07-36-21.pdf" TargetMode="External"/><Relationship Id="rId3" Type="http://schemas.openxmlformats.org/officeDocument/2006/relationships/hyperlink" Target="https://www.rad.cvm.gov.br/ENET/frmGerenciaPaginaFRE.aspx?CodigoTipoInstituicao=1&amp;NumeroSequencialDocumento=146257" TargetMode="External"/><Relationship Id="rId4" Type="http://schemas.openxmlformats.org/officeDocument/2006/relationships/hyperlink" Target="https://simpar.com.br/wp-content/uploads/2026/09/Relatorio-Anual-Integrado-2025.pdf" TargetMode="External"/><Relationship Id="rId5" Type="http://schemas.openxmlformats.org/officeDocument/2006/relationships/hyperlink" Target="https://cfc.org.br/tecnica/normas-brasileiras-de-contabilidade/nbc-ta-de-auditoria-independente/" TargetMode="External"/><Relationship Id="rId6" Type="http://schemas.openxmlformats.org/officeDocument/2006/relationships/hyperlink" Target="https://www2.cfc.org.br/sisweb/sre/detalhes_sre.aspx?Codigo=2026/NBCTA240%28R2%29&amp;arquivo=NBCTA240%28R2%29.docx" TargetMode="External"/><Relationship Id="rId7" Type="http://schemas.openxmlformats.org/officeDocument/2006/relationships/hyperlink" Target="https://www2.cfc.org.br/sisweb/sre/detalhes_sre.aspx?Codigo=2026/NBCTA570%28R1%29&amp;arquivo=NBCTA570%28R1%29.docx" TargetMode="External"/><Relationship Id="rId8" Type="http://schemas.openxmlformats.org/officeDocument/2006/relationships/hyperlink" Target="https://www2.cfc.org.br/sisweb/sre/detalhes_sre.aspx?Codigo=2023/NBCTA600%28R2%29&amp;arquivo=NBC%20TA%20600%20%28R2%29.do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cfc.org.br/tecnica/normas-brasileiras-de-contabilidade/" TargetMode="External"/><Relationship Id="rId2" Type="http://schemas.openxmlformats.org/officeDocument/2006/relationships/hyperlink" Target="https://www2.cfc.org.br/sisweb/sre/detalhes_sre.aspx?Codigo=2016/NBCTA200%28R1%29" TargetMode="External"/><Relationship Id="rId3" Type="http://schemas.openxmlformats.org/officeDocument/2006/relationships/hyperlink" Target="https://www2.cfc.org.br/sisweb/sre/detalhes_sre.aspx?Codigo=2016/NBCTA210%28R1%29" TargetMode="External"/><Relationship Id="rId4" Type="http://schemas.openxmlformats.org/officeDocument/2006/relationships/hyperlink" Target="https://www2.cfc.org.br/sisweb/sre/detalhes_sre.aspx?Codigo=2021/NBCTA220%28R3%29" TargetMode="External"/><Relationship Id="rId5" Type="http://schemas.openxmlformats.org/officeDocument/2006/relationships/hyperlink" Target="https://www2.cfc.org.br/sisweb/sre/detalhes_sre.aspx?Codigo=2016/NBCTA230%28R1%29" TargetMode="External"/><Relationship Id="rId6" Type="http://schemas.openxmlformats.org/officeDocument/2006/relationships/hyperlink" Target="https://www2.cfc.org.br/sisweb/sre/detalhes_sre.aspx?Codigo=2016/NBCTA240%28R1%29" TargetMode="External"/><Relationship Id="rId7" Type="http://schemas.openxmlformats.org/officeDocument/2006/relationships/hyperlink" Target="https://www2.cfc.org.br/sisweb/sre/detalhes_sre.aspx?Codigo=2019/NBCTA250" TargetMode="External"/><Relationship Id="rId8" Type="http://schemas.openxmlformats.org/officeDocument/2006/relationships/hyperlink" Target="https://cfc.org.br/wp-content/uploads/2026/06/NBCTA260-R2-2.pdf" TargetMode="External"/><Relationship Id="rId9" Type="http://schemas.openxmlformats.org/officeDocument/2006/relationships/hyperlink" Target="https://www2.cfc.org.br/sisweb/sre/detalhes_sre.aspx?Codigo=2009/001210" TargetMode="External"/><Relationship Id="rId10" Type="http://schemas.openxmlformats.org/officeDocument/2006/relationships/hyperlink" Target="https://www2.cfc.org.br/sisweb/sre/detalhes_sre.aspx?Codigo=2016/NBCTA300%28R1%29" TargetMode="External"/><Relationship Id="rId11" Type="http://schemas.openxmlformats.org/officeDocument/2006/relationships/hyperlink" Target="https://www2.cfc.org.br/sisweb/sre/detalhes_sre.aspx?Codigo=2021/NBCTA315%28R2%29" TargetMode="External"/><Relationship Id="rId12" Type="http://schemas.openxmlformats.org/officeDocument/2006/relationships/hyperlink" Target="https://www2.cfc.org.br/sisweb/sre/detalhes_sre.aspx?Codigo=2016/NBCTA320%28R1%29" TargetMode="External"/><Relationship Id="rId13" Type="http://schemas.openxmlformats.org/officeDocument/2006/relationships/hyperlink" Target="https://www2.cfc.org.br/sisweb/sre/detalhes_sre.aspx?Codigo=2016/NBCTA330%28R1%29" TargetMode="External"/><Relationship Id="rId14" Type="http://schemas.openxmlformats.org/officeDocument/2006/relationships/hyperlink" Target="https://www2.cfc.org.br/sisweb/sre/detalhes_sre.aspx?Codigo=2009/001215" TargetMode="External"/><Relationship Id="rId15" Type="http://schemas.openxmlformats.org/officeDocument/2006/relationships/hyperlink" Target="https://www2.cfc.org.br/sisweb/sre/detalhes_sre.aspx?Codigo=2016/NBCTA450%28R1%29" TargetMode="External"/><Relationship Id="rId16" Type="http://schemas.openxmlformats.org/officeDocument/2006/relationships/hyperlink" Target="https://www2.cfc.org.br/sisweb/sre/detalhes_sre.aspx?Codigo=2016/NBCTA500%28R1%29" TargetMode="External"/><Relationship Id="rId17" Type="http://schemas.openxmlformats.org/officeDocument/2006/relationships/hyperlink" Target="https://www2.cfc.org.br/sisweb/sre/detalhes_sre.aspx?Codigo=2009/001218" TargetMode="External"/><Relationship Id="rId18" Type="http://schemas.openxmlformats.org/officeDocument/2006/relationships/hyperlink" Target="https://www2.cfc.org.br/sisweb/sre/detalhes_sre.aspx?Codigo=2009/001219" TargetMode="External"/><Relationship Id="rId19" Type="http://schemas.openxmlformats.org/officeDocument/2006/relationships/hyperlink" Target="https://www2.cfc.org.br/sisweb/sre/detalhes_sre.aspx?Codigo=2016/NBCTA510%28R1%29" TargetMode="External"/><Relationship Id="rId20" Type="http://schemas.openxmlformats.org/officeDocument/2006/relationships/hyperlink" Target="https://www2.cfc.org.br/sisweb/sre/detalhes_sre.aspx?Codigo=2009/001221" TargetMode="External"/><Relationship Id="rId21" Type="http://schemas.openxmlformats.org/officeDocument/2006/relationships/hyperlink" Target="https://www2.cfc.org.br/sisweb/sre/detalhes_sre.aspx?Codigo=2009/001222" TargetMode="External"/><Relationship Id="rId22" Type="http://schemas.openxmlformats.org/officeDocument/2006/relationships/hyperlink" Target="https://www2.cfc.org.br/sisweb/sre/detalhes_sre.aspx?Codigo=2019/NBCTA540%28R2%29" TargetMode="External"/><Relationship Id="rId23" Type="http://schemas.openxmlformats.org/officeDocument/2006/relationships/hyperlink" Target="https://www2.cfc.org.br/sisweb/sre/detalhes_sre.aspx?Codigo=2009/001224" TargetMode="External"/><Relationship Id="rId24" Type="http://schemas.openxmlformats.org/officeDocument/2006/relationships/hyperlink" Target="https://www2.cfc.org.br/sisweb/sre/detalhes_sre.aspx?Codigo=2016/NBCTA560%28R1%29" TargetMode="External"/><Relationship Id="rId25" Type="http://schemas.openxmlformats.org/officeDocument/2006/relationships/hyperlink" Target="https://www2.cfc.org.br/sisweb/sre/detalhes_sre.aspx?Codigo=2016/NBCTA570" TargetMode="External"/><Relationship Id="rId26" Type="http://schemas.openxmlformats.org/officeDocument/2006/relationships/hyperlink" Target="https://www2.cfc.org.br/sisweb/sre/detalhes_sre.aspx?Codigo=2016/NBCTA580%28R1%29" TargetMode="External"/><Relationship Id="rId27" Type="http://schemas.openxmlformats.org/officeDocument/2006/relationships/hyperlink" Target="https://www2.cfc.org.br/sisweb/sre/detalhes_sre.aspx?Codigo=2023/NBCTA600%28R2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/>
  </sheetViews>
  <sheetFormatPr defaultRowHeight="21.75" customHeight="1"/>
  <cols>
    <col min="1" max="1" width="27.7109375" customWidth="1"/>
    <col min="2" max="2" width="100.7109375" customWidth="1"/>
  </cols>
  <sheetData>
    <row r="1" spans="1:2" ht="33.75" customHeight="1">
      <c r="A1" s="1" t="s">
        <v>0</v>
      </c>
      <c r="B1" s="1"/>
    </row>
    <row r="3" spans="1:2" ht="38.25" customHeight="1">
      <c r="A3" s="2" t="s">
        <v>1</v>
      </c>
      <c r="B3" s="3" t="s">
        <v>2</v>
      </c>
    </row>
    <row r="4" spans="1:2" ht="38.25" customHeight="1">
      <c r="A4" s="2" t="s">
        <v>3</v>
      </c>
      <c r="B4" s="3" t="s">
        <v>4</v>
      </c>
    </row>
    <row r="5" spans="1:2" ht="38.25" customHeight="1">
      <c r="A5" s="2" t="s">
        <v>5</v>
      </c>
      <c r="B5" s="3" t="s">
        <v>6</v>
      </c>
    </row>
    <row r="6" spans="1:2" ht="38.25" customHeight="1">
      <c r="A6" s="2" t="s">
        <v>7</v>
      </c>
      <c r="B6" s="4" t="s">
        <v>8</v>
      </c>
    </row>
    <row r="7" spans="1:2" ht="38.25" customHeight="1">
      <c r="A7" s="2" t="s">
        <v>9</v>
      </c>
      <c r="B7" s="4" t="s">
        <v>10</v>
      </c>
    </row>
    <row r="8" spans="1:2" ht="38.25" customHeight="1">
      <c r="A8" s="2" t="s">
        <v>11</v>
      </c>
      <c r="B8" s="3" t="s">
        <v>12</v>
      </c>
    </row>
    <row r="9" spans="1:2" ht="38.25" customHeight="1">
      <c r="A9" s="2" t="s">
        <v>13</v>
      </c>
      <c r="B9" s="3" t="s">
        <v>14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.75" customHeight="1"/>
  <cols>
    <col min="1" max="1" width="56.7109375" customWidth="1"/>
    <col min="2" max="5" width="22.7109375" customWidth="1"/>
  </cols>
  <sheetData>
    <row r="1" spans="1:5" ht="21.75" customHeight="1">
      <c r="A1" s="1" t="s">
        <v>15</v>
      </c>
      <c r="B1" s="1"/>
      <c r="C1" s="1"/>
      <c r="D1" s="1"/>
      <c r="E1" s="1"/>
    </row>
    <row r="3" spans="1:5" ht="21.7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</row>
    <row r="4" spans="1:5" ht="21.75" customHeight="1">
      <c r="A4" s="3" t="s">
        <v>21</v>
      </c>
      <c r="B4" s="5">
        <v>88642122</v>
      </c>
      <c r="C4" s="5">
        <v>84025791</v>
      </c>
      <c r="D4" s="5">
        <f>B4-C4</f>
        <v>0</v>
      </c>
      <c r="E4" s="6">
        <f>IF(C4&gt;0,B4/C4-1,"")</f>
        <v>0</v>
      </c>
    </row>
    <row r="5" spans="1:5" ht="21.75" customHeight="1">
      <c r="A5" s="3" t="s">
        <v>22</v>
      </c>
      <c r="B5" s="5">
        <v>47944350</v>
      </c>
      <c r="C5" s="5">
        <v>46262499</v>
      </c>
      <c r="D5" s="5">
        <f>B5-C5</f>
        <v>0</v>
      </c>
      <c r="E5" s="6">
        <f>IF(C5&gt;0,B5/C5-1,"")</f>
        <v>0</v>
      </c>
    </row>
    <row r="6" spans="1:5" ht="21.75" customHeight="1">
      <c r="A6" s="3" t="s">
        <v>23</v>
      </c>
      <c r="B6" s="5">
        <v>43528375</v>
      </c>
      <c r="C6" s="5">
        <v>40738086</v>
      </c>
      <c r="D6" s="5">
        <f>B6-C6</f>
        <v>0</v>
      </c>
      <c r="E6" s="6">
        <f>IF(C6&gt;0,B6/C6-1,"")</f>
        <v>0</v>
      </c>
    </row>
    <row r="7" spans="1:5" ht="21.75" customHeight="1">
      <c r="A7" s="3" t="s">
        <v>24</v>
      </c>
      <c r="B7" s="5">
        <v>212641</v>
      </c>
      <c r="C7" s="5">
        <v>93833</v>
      </c>
      <c r="D7" s="5">
        <f>B7-C7</f>
        <v>0</v>
      </c>
      <c r="E7" s="6">
        <f>IF(C7&gt;0,B7/C7-1,"")</f>
        <v>0</v>
      </c>
    </row>
    <row r="8" spans="1:5" ht="21.75" customHeight="1">
      <c r="A8" s="3" t="s">
        <v>25</v>
      </c>
      <c r="B8" s="5">
        <v>215250</v>
      </c>
      <c r="C8" s="5">
        <v>89071</v>
      </c>
      <c r="D8" s="5">
        <f>B8-C8</f>
        <v>0</v>
      </c>
      <c r="E8" s="6">
        <f>IF(C8&gt;0,B8/C8-1,"")</f>
        <v>0</v>
      </c>
    </row>
    <row r="9" spans="1:5" ht="21.75" customHeight="1">
      <c r="A9" s="3" t="s">
        <v>26</v>
      </c>
      <c r="B9" s="5">
        <v>254114</v>
      </c>
      <c r="C9" s="5">
        <v>404692</v>
      </c>
      <c r="D9" s="5">
        <f>B9-C9</f>
        <v>0</v>
      </c>
      <c r="E9" s="6">
        <f>IF(C9&gt;0,B9/C9-1,"")</f>
        <v>0</v>
      </c>
    </row>
    <row r="10" spans="1:5" ht="21.75" customHeight="1">
      <c r="A10" s="3" t="s">
        <v>27</v>
      </c>
      <c r="B10" s="5">
        <v>3029953</v>
      </c>
      <c r="C10" s="5">
        <v>1903850</v>
      </c>
      <c r="D10" s="5">
        <f>B10-C10</f>
        <v>0</v>
      </c>
      <c r="E10" s="6">
        <f>IF(C10&gt;0,B10/C10-1,"")</f>
        <v>0</v>
      </c>
    </row>
    <row r="11" spans="1:5" ht="21.75" customHeight="1">
      <c r="A11" s="3" t="s">
        <v>28</v>
      </c>
      <c r="B11" s="5">
        <v>9148886</v>
      </c>
      <c r="C11" s="5">
        <v>6965532</v>
      </c>
      <c r="D11" s="5">
        <f>B11-C11</f>
        <v>0</v>
      </c>
      <c r="E11" s="6">
        <f>IF(C11&gt;0,B11/C11-1,"")</f>
        <v>0</v>
      </c>
    </row>
    <row r="12" spans="1:5" ht="21.75" customHeight="1">
      <c r="A12" s="3" t="s">
        <v>29</v>
      </c>
      <c r="B12" s="5">
        <v>47519787</v>
      </c>
      <c r="C12" s="5">
        <v>48086335</v>
      </c>
      <c r="D12" s="5">
        <f>B12-C12</f>
        <v>0</v>
      </c>
      <c r="E12" s="6">
        <f>IF(C12&gt;0,B12/C12-1,"")</f>
        <v>0</v>
      </c>
    </row>
    <row r="13" spans="1:5" ht="21.75" customHeight="1">
      <c r="A13" s="3" t="s">
        <v>30</v>
      </c>
      <c r="B13" s="5">
        <v>383176</v>
      </c>
      <c r="C13" s="5">
        <v>446771</v>
      </c>
      <c r="D13" s="5">
        <f>B13-C13</f>
        <v>0</v>
      </c>
      <c r="E13" s="6">
        <f>IF(C13&gt;0,B13/C13-1,"")</f>
        <v>0</v>
      </c>
    </row>
    <row r="14" spans="1:5" ht="21.75" customHeight="1">
      <c r="A14" s="3" t="s">
        <v>31</v>
      </c>
      <c r="B14" s="5">
        <v>1930507</v>
      </c>
      <c r="C14" s="5">
        <v>1675401</v>
      </c>
      <c r="D14" s="5">
        <f>B14-C14</f>
        <v>0</v>
      </c>
      <c r="E14" s="6">
        <f>IF(C14&gt;0,B14/C14-1,"")</f>
        <v>0</v>
      </c>
    </row>
    <row r="15" spans="1:5" ht="21.75" customHeight="1">
      <c r="A15" s="3" t="s">
        <v>32</v>
      </c>
      <c r="B15" s="5">
        <v>-781548</v>
      </c>
      <c r="C15" s="5">
        <v>-3560134</v>
      </c>
      <c r="D15" s="5">
        <f>B15-C15</f>
        <v>0</v>
      </c>
      <c r="E15" s="6">
        <f>IF(C15&gt;0,B15/C15-1,"")</f>
        <v>0</v>
      </c>
    </row>
    <row r="16" spans="1:5" ht="21.75" customHeight="1">
      <c r="A16" s="3" t="s">
        <v>33</v>
      </c>
      <c r="B16" s="5">
        <v>-393261</v>
      </c>
      <c r="C16" s="5">
        <v>-1528622</v>
      </c>
      <c r="D16" s="5">
        <f>B16-C16</f>
        <v>0</v>
      </c>
      <c r="E16" s="6">
        <f>IF(C16&gt;0,B16/C16-1,"")</f>
        <v>0</v>
      </c>
    </row>
    <row r="17" spans="1:5" ht="21.75" customHeight="1">
      <c r="A17" s="3" t="s">
        <v>34</v>
      </c>
      <c r="B17" s="5">
        <v>2300912</v>
      </c>
      <c r="C17" s="5">
        <v>5647131</v>
      </c>
      <c r="D17" s="5">
        <f>B17-C17</f>
        <v>0</v>
      </c>
      <c r="E17" s="6">
        <f>IF(C17&gt;0,B17/C17-1,"")</f>
        <v>0</v>
      </c>
    </row>
    <row r="18" spans="1:5" ht="21.75" customHeight="1">
      <c r="A18" s="3" t="s">
        <v>35</v>
      </c>
      <c r="B18" s="5">
        <v>1126103</v>
      </c>
      <c r="C18" s="5">
        <v>558375</v>
      </c>
      <c r="D18" s="5">
        <f>B18-C18</f>
        <v>0</v>
      </c>
      <c r="E18" s="6">
        <f>IF(C18&gt;0,B18/C18-1,"")</f>
        <v>0</v>
      </c>
    </row>
    <row r="19" spans="1:5" ht="21.75" customHeight="1">
      <c r="A19" s="3" t="s">
        <v>36</v>
      </c>
      <c r="B19" s="5">
        <v>7411001</v>
      </c>
      <c r="C19" s="5">
        <v>5724991</v>
      </c>
      <c r="D19" s="5">
        <f>B19-C19</f>
        <v>0</v>
      </c>
      <c r="E19" s="6">
        <f>IF(C19&gt;0,B19/C19-1,"")</f>
        <v>0</v>
      </c>
    </row>
    <row r="20" spans="1:5" ht="21.75" customHeight="1">
      <c r="A20" s="3" t="s">
        <v>37</v>
      </c>
      <c r="B20" s="5">
        <v>2831914</v>
      </c>
      <c r="C20" s="5">
        <v>3200318</v>
      </c>
      <c r="D20" s="5">
        <f>B20-C20</f>
        <v>0</v>
      </c>
      <c r="E20" s="6">
        <f>IF(C20&gt;0,B20/C20-1,"")</f>
        <v>0</v>
      </c>
    </row>
    <row r="21" spans="1:5" ht="21.75" customHeight="1">
      <c r="A21" s="3" t="s">
        <v>38</v>
      </c>
      <c r="B21" s="5">
        <v>7700608</v>
      </c>
      <c r="C21" s="5">
        <v>6176225</v>
      </c>
      <c r="D21" s="5">
        <f>B21-C21</f>
        <v>0</v>
      </c>
      <c r="E21" s="6">
        <f>IF(C21&gt;0,B21/C21-1,"")</f>
        <v>0</v>
      </c>
    </row>
    <row r="22" spans="1:5" ht="21.75" customHeight="1">
      <c r="A22" s="3" t="s">
        <v>39</v>
      </c>
      <c r="B22" s="5">
        <v>535411</v>
      </c>
      <c r="C22" s="5">
        <v>670149</v>
      </c>
      <c r="D22" s="5">
        <f>B22-C22</f>
        <v>0</v>
      </c>
      <c r="E22" s="6">
        <f>IF(C22&gt;0,B22/C22-1,"")</f>
        <v>0</v>
      </c>
    </row>
  </sheetData>
  <autoFilter ref="A3:E22"/>
  <mergeCells count="1">
    <mergeCell ref="A1:E1"/>
  </mergeCells>
  <conditionalFormatting sqref="E4:E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21.75" customHeight="1"/>
  <cols>
    <col min="1" max="1" width="50.7109375" customWidth="1"/>
    <col min="2" max="2" width="25.7109375" customWidth="1"/>
    <col min="3" max="3" width="80.7109375" customWidth="1"/>
  </cols>
  <sheetData>
    <row r="1" spans="1:3" ht="21.75" customHeight="1">
      <c r="A1" s="1" t="s">
        <v>40</v>
      </c>
      <c r="B1" s="1"/>
      <c r="C1" s="1"/>
    </row>
    <row r="3" spans="1:3" ht="21.75" customHeight="1">
      <c r="A3" s="2" t="s">
        <v>41</v>
      </c>
      <c r="B3" s="2" t="s">
        <v>42</v>
      </c>
      <c r="C3" s="2" t="s">
        <v>43</v>
      </c>
    </row>
    <row r="4" spans="1:3" ht="33.75" customHeight="1">
      <c r="A4" s="3" t="s">
        <v>44</v>
      </c>
      <c r="B4" s="5">
        <v>43528375</v>
      </c>
      <c r="C4" s="3" t="s">
        <v>45</v>
      </c>
    </row>
    <row r="5" spans="1:3" ht="33.75" customHeight="1">
      <c r="A5" s="3" t="s">
        <v>46</v>
      </c>
      <c r="B5" s="5">
        <v>0.005</v>
      </c>
      <c r="C5" s="3" t="s">
        <v>47</v>
      </c>
    </row>
    <row r="6" spans="1:3" ht="33.75" customHeight="1">
      <c r="A6" s="3" t="s">
        <v>48</v>
      </c>
      <c r="B6" s="5">
        <v>217641.875</v>
      </c>
      <c r="C6" s="3" t="s">
        <v>49</v>
      </c>
    </row>
    <row r="7" spans="1:3" ht="33.75" customHeight="1">
      <c r="A7" s="3" t="s">
        <v>50</v>
      </c>
      <c r="B7" s="5">
        <v>163231.40625</v>
      </c>
      <c r="C7" s="3" t="s">
        <v>51</v>
      </c>
    </row>
    <row r="8" spans="1:3" ht="33.75" customHeight="1">
      <c r="A8" s="3" t="s">
        <v>52</v>
      </c>
      <c r="B8" s="5">
        <v>10882.09375</v>
      </c>
      <c r="C8" s="3" t="s">
        <v>53</v>
      </c>
    </row>
    <row r="9" spans="1:3" ht="33.75" customHeight="1">
      <c r="A9" s="3" t="s">
        <v>54</v>
      </c>
      <c r="B9" s="5">
        <v>443210.61</v>
      </c>
      <c r="C9" s="3" t="s">
        <v>55</v>
      </c>
    </row>
    <row r="10" spans="1:3" ht="33.75" customHeight="1">
      <c r="A10" s="3" t="s">
        <v>56</v>
      </c>
      <c r="B10" s="5">
        <v>12705.7</v>
      </c>
      <c r="C10" s="3" t="s">
        <v>57</v>
      </c>
    </row>
    <row r="11" spans="1:3" ht="33.75" customHeight="1">
      <c r="A11" s="3" t="s">
        <v>58</v>
      </c>
      <c r="B11" s="5">
        <v>74110.00999999999</v>
      </c>
      <c r="C11" s="3" t="s">
        <v>59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showGridLines="0" workbookViewId="0">
      <pane ySplit="3" topLeftCell="A4" activePane="bottomLeft" state="frozen"/>
      <selection pane="bottomLeft"/>
    </sheetView>
  </sheetViews>
  <sheetFormatPr defaultRowHeight="21.75" customHeight="1"/>
  <cols>
    <col min="1" max="1" width="25.7109375" customWidth="1"/>
    <col min="2" max="2" width="38.7109375" customWidth="1"/>
    <col min="3" max="3" width="27.7109375" customWidth="1"/>
    <col min="4" max="5" width="19.7109375" customWidth="1"/>
    <col min="6" max="7" width="70.7109375" customWidth="1"/>
    <col min="8" max="8" width="26.7109375" customWidth="1"/>
    <col min="9" max="9" width="16.7109375" customWidth="1"/>
  </cols>
  <sheetData>
    <row r="1" spans="1:9" ht="21.75" customHeight="1">
      <c r="A1" s="1" t="s">
        <v>60</v>
      </c>
      <c r="B1" s="1"/>
      <c r="C1" s="1"/>
      <c r="D1" s="1"/>
      <c r="E1" s="1"/>
      <c r="F1" s="1"/>
      <c r="G1" s="1"/>
      <c r="H1" s="1"/>
      <c r="I1" s="1"/>
    </row>
    <row r="3" spans="1:9" ht="21.75" customHeight="1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</row>
    <row r="4" spans="1:9" ht="54.75" customHeight="1">
      <c r="A4" s="3" t="s">
        <v>70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75</v>
      </c>
      <c r="G4" s="3" t="s">
        <v>76</v>
      </c>
      <c r="H4" s="3" t="s">
        <v>77</v>
      </c>
      <c r="I4" s="3" t="s">
        <v>78</v>
      </c>
    </row>
    <row r="5" spans="1:9" ht="54.75" customHeight="1">
      <c r="A5" s="3" t="s">
        <v>70</v>
      </c>
      <c r="B5" s="3" t="s">
        <v>79</v>
      </c>
      <c r="C5" s="3" t="s">
        <v>80</v>
      </c>
      <c r="D5" s="3" t="s">
        <v>81</v>
      </c>
      <c r="E5" s="3" t="s">
        <v>74</v>
      </c>
      <c r="F5" s="3" t="s">
        <v>82</v>
      </c>
      <c r="G5" s="3" t="s">
        <v>83</v>
      </c>
      <c r="H5" s="3" t="s">
        <v>84</v>
      </c>
      <c r="I5" s="3" t="s">
        <v>78</v>
      </c>
    </row>
    <row r="6" spans="1:9" ht="54.75" customHeight="1">
      <c r="A6" s="3" t="s">
        <v>70</v>
      </c>
      <c r="B6" s="3" t="s">
        <v>85</v>
      </c>
      <c r="C6" s="3" t="s">
        <v>86</v>
      </c>
      <c r="D6" s="3" t="s">
        <v>81</v>
      </c>
      <c r="E6" s="3" t="s">
        <v>74</v>
      </c>
      <c r="F6" s="3" t="s">
        <v>87</v>
      </c>
      <c r="G6" s="3" t="s">
        <v>88</v>
      </c>
      <c r="H6" s="3" t="s">
        <v>89</v>
      </c>
      <c r="I6" s="3" t="s">
        <v>78</v>
      </c>
    </row>
    <row r="7" spans="1:9" ht="54.75" customHeight="1">
      <c r="A7" s="3" t="s">
        <v>70</v>
      </c>
      <c r="B7" s="3" t="s">
        <v>90</v>
      </c>
      <c r="C7" s="3" t="s">
        <v>91</v>
      </c>
      <c r="D7" s="3" t="s">
        <v>73</v>
      </c>
      <c r="E7" s="3" t="s">
        <v>74</v>
      </c>
      <c r="F7" s="3" t="s">
        <v>92</v>
      </c>
      <c r="G7" s="3" t="s">
        <v>93</v>
      </c>
      <c r="H7" s="3" t="s">
        <v>94</v>
      </c>
      <c r="I7" s="3" t="s">
        <v>78</v>
      </c>
    </row>
    <row r="8" spans="1:9" ht="54.75" customHeight="1">
      <c r="A8" s="3" t="s">
        <v>70</v>
      </c>
      <c r="B8" s="3" t="s">
        <v>95</v>
      </c>
      <c r="C8" s="3" t="s">
        <v>96</v>
      </c>
      <c r="D8" s="3" t="s">
        <v>81</v>
      </c>
      <c r="E8" s="3" t="s">
        <v>74</v>
      </c>
      <c r="F8" s="3" t="s">
        <v>97</v>
      </c>
      <c r="G8" s="3" t="s">
        <v>98</v>
      </c>
      <c r="H8" s="3" t="s">
        <v>99</v>
      </c>
      <c r="I8" s="3" t="s">
        <v>78</v>
      </c>
    </row>
    <row r="9" spans="1:9" ht="54.75" customHeight="1">
      <c r="A9" s="3" t="s">
        <v>70</v>
      </c>
      <c r="B9" s="3" t="s">
        <v>100</v>
      </c>
      <c r="C9" s="3" t="s">
        <v>101</v>
      </c>
      <c r="D9" s="3" t="s">
        <v>81</v>
      </c>
      <c r="E9" s="3" t="s">
        <v>74</v>
      </c>
      <c r="F9" s="3" t="s">
        <v>102</v>
      </c>
      <c r="G9" s="3" t="s">
        <v>103</v>
      </c>
      <c r="H9" s="3" t="s">
        <v>104</v>
      </c>
      <c r="I9" s="3" t="s">
        <v>78</v>
      </c>
    </row>
    <row r="10" spans="1:9" ht="54.75" customHeight="1">
      <c r="A10" s="3" t="s">
        <v>105</v>
      </c>
      <c r="B10" s="3" t="s">
        <v>106</v>
      </c>
      <c r="C10" s="3" t="s">
        <v>107</v>
      </c>
      <c r="D10" s="3" t="s">
        <v>73</v>
      </c>
      <c r="E10" s="3" t="s">
        <v>74</v>
      </c>
      <c r="F10" s="3" t="s">
        <v>108</v>
      </c>
      <c r="G10" s="3" t="s">
        <v>109</v>
      </c>
      <c r="H10" s="3" t="s">
        <v>110</v>
      </c>
      <c r="I10" s="3" t="s">
        <v>78</v>
      </c>
    </row>
    <row r="11" spans="1:9" ht="54.75" customHeight="1">
      <c r="A11" s="3" t="s">
        <v>105</v>
      </c>
      <c r="B11" s="3" t="s">
        <v>111</v>
      </c>
      <c r="C11" s="3" t="s">
        <v>112</v>
      </c>
      <c r="D11" s="3" t="s">
        <v>81</v>
      </c>
      <c r="E11" s="3" t="s">
        <v>74</v>
      </c>
      <c r="F11" s="3" t="s">
        <v>113</v>
      </c>
      <c r="G11" s="3" t="s">
        <v>114</v>
      </c>
      <c r="H11" s="3" t="s">
        <v>115</v>
      </c>
      <c r="I11" s="3" t="s">
        <v>78</v>
      </c>
    </row>
    <row r="12" spans="1:9" ht="54.75" customHeight="1">
      <c r="A12" s="3" t="s">
        <v>38</v>
      </c>
      <c r="B12" s="3" t="s">
        <v>116</v>
      </c>
      <c r="C12" s="3" t="s">
        <v>96</v>
      </c>
      <c r="D12" s="3" t="s">
        <v>73</v>
      </c>
      <c r="E12" s="3" t="s">
        <v>74</v>
      </c>
      <c r="F12" s="3" t="s">
        <v>117</v>
      </c>
      <c r="G12" s="3" t="s">
        <v>118</v>
      </c>
      <c r="H12" s="3" t="s">
        <v>104</v>
      </c>
      <c r="I12" s="3" t="s">
        <v>78</v>
      </c>
    </row>
    <row r="13" spans="1:9" ht="54.75" customHeight="1">
      <c r="A13" s="3" t="s">
        <v>119</v>
      </c>
      <c r="B13" s="3" t="s">
        <v>120</v>
      </c>
      <c r="C13" s="3" t="s">
        <v>121</v>
      </c>
      <c r="D13" s="3" t="s">
        <v>122</v>
      </c>
      <c r="E13" s="3" t="s">
        <v>74</v>
      </c>
      <c r="F13" s="3" t="s">
        <v>123</v>
      </c>
      <c r="G13" s="3" t="s">
        <v>124</v>
      </c>
      <c r="H13" s="3" t="s">
        <v>125</v>
      </c>
      <c r="I13" s="3" t="s">
        <v>78</v>
      </c>
    </row>
    <row r="14" spans="1:9" ht="54.75" customHeight="1">
      <c r="A14" s="3" t="s">
        <v>37</v>
      </c>
      <c r="B14" s="3" t="s">
        <v>126</v>
      </c>
      <c r="C14" s="3" t="s">
        <v>127</v>
      </c>
      <c r="D14" s="3" t="s">
        <v>81</v>
      </c>
      <c r="E14" s="3" t="s">
        <v>128</v>
      </c>
      <c r="F14" s="3" t="s">
        <v>129</v>
      </c>
      <c r="G14" s="3" t="s">
        <v>130</v>
      </c>
      <c r="H14" s="3" t="s">
        <v>131</v>
      </c>
      <c r="I14" s="3" t="s">
        <v>78</v>
      </c>
    </row>
    <row r="15" spans="1:9" ht="54.75" customHeight="1">
      <c r="A15" s="3" t="s">
        <v>37</v>
      </c>
      <c r="B15" s="3" t="s">
        <v>132</v>
      </c>
      <c r="C15" s="3" t="s">
        <v>96</v>
      </c>
      <c r="D15" s="3" t="s">
        <v>81</v>
      </c>
      <c r="E15" s="3" t="s">
        <v>128</v>
      </c>
      <c r="F15" s="3" t="s">
        <v>133</v>
      </c>
      <c r="G15" s="3" t="s">
        <v>134</v>
      </c>
      <c r="H15" s="3" t="s">
        <v>135</v>
      </c>
      <c r="I15" s="3" t="s">
        <v>78</v>
      </c>
    </row>
    <row r="16" spans="1:9" ht="54.75" customHeight="1">
      <c r="A16" s="3" t="s">
        <v>136</v>
      </c>
      <c r="B16" s="3" t="s">
        <v>137</v>
      </c>
      <c r="C16" s="3" t="s">
        <v>138</v>
      </c>
      <c r="D16" s="3" t="s">
        <v>73</v>
      </c>
      <c r="E16" s="3" t="s">
        <v>74</v>
      </c>
      <c r="F16" s="3" t="s">
        <v>139</v>
      </c>
      <c r="G16" s="3" t="s">
        <v>140</v>
      </c>
      <c r="H16" s="3" t="s">
        <v>141</v>
      </c>
      <c r="I16" s="3" t="s">
        <v>78</v>
      </c>
    </row>
    <row r="17" spans="1:9" ht="54.75" customHeight="1">
      <c r="A17" s="3" t="s">
        <v>142</v>
      </c>
      <c r="B17" s="3" t="s">
        <v>143</v>
      </c>
      <c r="C17" s="3" t="s">
        <v>144</v>
      </c>
      <c r="D17" s="3" t="s">
        <v>81</v>
      </c>
      <c r="E17" s="3" t="s">
        <v>74</v>
      </c>
      <c r="F17" s="3" t="s">
        <v>145</v>
      </c>
      <c r="G17" s="3" t="s">
        <v>146</v>
      </c>
      <c r="H17" s="3" t="s">
        <v>147</v>
      </c>
      <c r="I17" s="3" t="s">
        <v>78</v>
      </c>
    </row>
    <row r="18" spans="1:9" ht="54.75" customHeight="1">
      <c r="A18" s="3" t="s">
        <v>148</v>
      </c>
      <c r="B18" s="3" t="s">
        <v>149</v>
      </c>
      <c r="C18" s="3" t="s">
        <v>150</v>
      </c>
      <c r="D18" s="3" t="s">
        <v>73</v>
      </c>
      <c r="E18" s="3" t="s">
        <v>74</v>
      </c>
      <c r="F18" s="3" t="s">
        <v>151</v>
      </c>
      <c r="G18" s="3" t="s">
        <v>152</v>
      </c>
      <c r="H18" s="3" t="s">
        <v>153</v>
      </c>
      <c r="I18" s="3" t="s">
        <v>78</v>
      </c>
    </row>
    <row r="19" spans="1:9" ht="54.75" customHeight="1">
      <c r="A19" s="3" t="s">
        <v>154</v>
      </c>
      <c r="B19" s="3" t="s">
        <v>155</v>
      </c>
      <c r="C19" s="3" t="s">
        <v>156</v>
      </c>
      <c r="D19" s="3" t="s">
        <v>81</v>
      </c>
      <c r="E19" s="3" t="s">
        <v>74</v>
      </c>
      <c r="F19" s="3" t="s">
        <v>157</v>
      </c>
      <c r="G19" s="3" t="s">
        <v>158</v>
      </c>
      <c r="H19" s="3" t="s">
        <v>159</v>
      </c>
      <c r="I19" s="3" t="s">
        <v>78</v>
      </c>
    </row>
    <row r="20" spans="1:9" ht="54.75" customHeight="1">
      <c r="A20" s="3" t="s">
        <v>160</v>
      </c>
      <c r="B20" s="3" t="s">
        <v>161</v>
      </c>
      <c r="C20" s="3" t="s">
        <v>162</v>
      </c>
      <c r="D20" s="3" t="s">
        <v>81</v>
      </c>
      <c r="E20" s="3" t="s">
        <v>74</v>
      </c>
      <c r="F20" s="3" t="s">
        <v>163</v>
      </c>
      <c r="G20" s="3" t="s">
        <v>164</v>
      </c>
      <c r="H20" s="3" t="s">
        <v>165</v>
      </c>
      <c r="I20" s="3" t="s">
        <v>78</v>
      </c>
    </row>
    <row r="21" spans="1:9" ht="54.75" customHeight="1">
      <c r="A21" s="3" t="s">
        <v>166</v>
      </c>
      <c r="B21" s="3" t="s">
        <v>167</v>
      </c>
      <c r="C21" s="3" t="s">
        <v>168</v>
      </c>
      <c r="D21" s="3" t="s">
        <v>73</v>
      </c>
      <c r="E21" s="3" t="s">
        <v>74</v>
      </c>
      <c r="F21" s="3" t="s">
        <v>169</v>
      </c>
      <c r="G21" s="3" t="s">
        <v>170</v>
      </c>
      <c r="H21" s="3" t="s">
        <v>171</v>
      </c>
      <c r="I21" s="3" t="s">
        <v>78</v>
      </c>
    </row>
    <row r="22" spans="1:9" ht="54.75" customHeight="1">
      <c r="A22" s="3" t="s">
        <v>172</v>
      </c>
      <c r="B22" s="3" t="s">
        <v>173</v>
      </c>
      <c r="C22" s="3" t="s">
        <v>174</v>
      </c>
      <c r="D22" s="3" t="s">
        <v>81</v>
      </c>
      <c r="E22" s="3" t="s">
        <v>74</v>
      </c>
      <c r="F22" s="3" t="s">
        <v>175</v>
      </c>
      <c r="G22" s="3" t="s">
        <v>176</v>
      </c>
      <c r="H22" s="3" t="s">
        <v>177</v>
      </c>
      <c r="I22" s="3" t="s">
        <v>178</v>
      </c>
    </row>
  </sheetData>
  <autoFilter ref="A3:I22"/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/>
  </sheetViews>
  <sheetFormatPr defaultRowHeight="21.75" customHeight="1"/>
  <cols>
    <col min="1" max="1" width="52.7109375" customWidth="1"/>
    <col min="2" max="3" width="17.7109375" customWidth="1"/>
    <col min="4" max="4" width="75.7109375" customWidth="1"/>
  </cols>
  <sheetData>
    <row r="1" spans="1:4" ht="21.75" customHeight="1">
      <c r="A1" s="1" t="s">
        <v>179</v>
      </c>
      <c r="B1" s="1"/>
      <c r="C1" s="1"/>
      <c r="D1" s="1"/>
    </row>
    <row r="3" spans="1:4" ht="21.75" customHeight="1">
      <c r="A3" s="2" t="s">
        <v>180</v>
      </c>
      <c r="B3" s="2" t="s">
        <v>181</v>
      </c>
      <c r="C3" s="2" t="s">
        <v>182</v>
      </c>
      <c r="D3" s="2" t="s">
        <v>183</v>
      </c>
    </row>
    <row r="4" spans="1:4" ht="32.25" customHeight="1">
      <c r="A4" s="3" t="s">
        <v>184</v>
      </c>
      <c r="B4" s="5">
        <v>3</v>
      </c>
      <c r="C4" s="5">
        <v>3</v>
      </c>
      <c r="D4" s="4" t="s">
        <v>185</v>
      </c>
    </row>
    <row r="5" spans="1:4" ht="32.25" customHeight="1">
      <c r="A5" s="3" t="s">
        <v>186</v>
      </c>
      <c r="B5" s="5">
        <v>2</v>
      </c>
      <c r="C5" s="5">
        <v>2</v>
      </c>
      <c r="D5" s="4" t="s">
        <v>185</v>
      </c>
    </row>
    <row r="6" spans="1:4" ht="32.25" customHeight="1">
      <c r="A6" s="3" t="s">
        <v>187</v>
      </c>
      <c r="B6" s="5">
        <v>2</v>
      </c>
      <c r="C6" s="5">
        <v>2</v>
      </c>
      <c r="D6" s="4" t="s">
        <v>185</v>
      </c>
    </row>
    <row r="7" spans="1:4" ht="32.25" customHeight="1">
      <c r="A7" s="3" t="s">
        <v>188</v>
      </c>
      <c r="B7" s="5">
        <v>1</v>
      </c>
      <c r="C7" s="5">
        <v>1</v>
      </c>
      <c r="D7" s="4" t="s">
        <v>185</v>
      </c>
    </row>
    <row r="8" spans="1:4" ht="32.25" customHeight="1">
      <c r="A8" s="3" t="s">
        <v>189</v>
      </c>
      <c r="B8" s="5">
        <v>1</v>
      </c>
      <c r="C8" s="5">
        <v>1</v>
      </c>
      <c r="D8" s="4" t="s">
        <v>185</v>
      </c>
    </row>
    <row r="9" spans="1:4" ht="32.25" customHeight="1">
      <c r="A9" s="3" t="s">
        <v>190</v>
      </c>
      <c r="B9" s="5">
        <v>1</v>
      </c>
      <c r="C9" s="5">
        <v>1</v>
      </c>
      <c r="D9" s="4" t="s">
        <v>185</v>
      </c>
    </row>
    <row r="10" spans="1:4" ht="32.25" customHeight="1">
      <c r="A10" s="3" t="s">
        <v>191</v>
      </c>
      <c r="B10" s="5">
        <v>1</v>
      </c>
      <c r="C10" s="5">
        <v>1</v>
      </c>
      <c r="D10" s="4" t="s">
        <v>185</v>
      </c>
    </row>
    <row r="11" spans="1:4" ht="32.25" customHeight="1">
      <c r="A11" s="3" t="s">
        <v>192</v>
      </c>
      <c r="B11" s="5">
        <v>1</v>
      </c>
      <c r="C11" s="5">
        <v>1</v>
      </c>
      <c r="D11" s="4" t="s">
        <v>185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/>
  </sheetViews>
  <sheetFormatPr defaultRowHeight="21.75" customHeight="1"/>
  <cols>
    <col min="1" max="1" width="10.7109375" customWidth="1"/>
    <col min="2" max="2" width="52.7109375" customWidth="1"/>
    <col min="3" max="3" width="26.7109375" customWidth="1"/>
    <col min="4" max="4" width="75.7109375" customWidth="1"/>
    <col min="5" max="5" width="20.7109375" customWidth="1"/>
  </cols>
  <sheetData>
    <row r="1" spans="1:5" ht="21.75" customHeight="1">
      <c r="A1" s="1" t="s">
        <v>193</v>
      </c>
      <c r="B1" s="1"/>
      <c r="C1" s="1"/>
      <c r="D1" s="1"/>
      <c r="E1" s="1"/>
    </row>
    <row r="3" spans="1:5" ht="21.75" customHeight="1">
      <c r="A3" s="2" t="s">
        <v>194</v>
      </c>
      <c r="B3" s="2" t="s">
        <v>195</v>
      </c>
      <c r="C3" s="2" t="s">
        <v>196</v>
      </c>
      <c r="D3" s="2" t="s">
        <v>197</v>
      </c>
      <c r="E3" s="2" t="s">
        <v>198</v>
      </c>
    </row>
    <row r="4" spans="1:5" ht="54.75" customHeight="1">
      <c r="A4" t="s">
        <v>199</v>
      </c>
      <c r="B4" s="3" t="s">
        <v>200</v>
      </c>
      <c r="C4" s="3" t="s">
        <v>201</v>
      </c>
      <c r="D4" s="7" t="s">
        <v>202</v>
      </c>
      <c r="E4" s="3" t="s">
        <v>203</v>
      </c>
    </row>
    <row r="5" spans="1:5" ht="54.75" customHeight="1">
      <c r="A5" t="s">
        <v>204</v>
      </c>
      <c r="B5" s="3" t="s">
        <v>205</v>
      </c>
      <c r="C5" s="3" t="s">
        <v>206</v>
      </c>
      <c r="D5" s="7" t="s">
        <v>207</v>
      </c>
      <c r="E5" s="3" t="s">
        <v>208</v>
      </c>
    </row>
    <row r="6" spans="1:5" ht="54.75" customHeight="1">
      <c r="A6" t="s">
        <v>209</v>
      </c>
      <c r="B6" s="3" t="s">
        <v>210</v>
      </c>
      <c r="C6" s="3" t="s">
        <v>201</v>
      </c>
      <c r="D6" s="7" t="s">
        <v>211</v>
      </c>
      <c r="E6" s="3" t="s">
        <v>212</v>
      </c>
    </row>
    <row r="7" spans="1:5" ht="54.75" customHeight="1">
      <c r="A7" t="s">
        <v>213</v>
      </c>
      <c r="B7" s="3" t="s">
        <v>214</v>
      </c>
      <c r="C7" s="3" t="s">
        <v>215</v>
      </c>
      <c r="D7" s="7" t="s">
        <v>216</v>
      </c>
      <c r="E7" s="3" t="s">
        <v>217</v>
      </c>
    </row>
    <row r="8" spans="1:5" ht="54.75" customHeight="1">
      <c r="A8" t="s">
        <v>218</v>
      </c>
      <c r="B8" s="3" t="s">
        <v>219</v>
      </c>
      <c r="C8" s="3" t="s">
        <v>220</v>
      </c>
      <c r="D8" s="7" t="s">
        <v>221</v>
      </c>
      <c r="E8" s="3" t="s">
        <v>222</v>
      </c>
    </row>
    <row r="9" spans="1:5" ht="54.75" customHeight="1">
      <c r="A9" t="s">
        <v>223</v>
      </c>
      <c r="B9" s="3" t="s">
        <v>224</v>
      </c>
      <c r="C9" s="3" t="s">
        <v>220</v>
      </c>
      <c r="D9" s="7" t="s">
        <v>225</v>
      </c>
      <c r="E9" s="3" t="s">
        <v>226</v>
      </c>
    </row>
    <row r="10" spans="1:5" ht="54.75" customHeight="1">
      <c r="A10" t="s">
        <v>227</v>
      </c>
      <c r="B10" s="3" t="s">
        <v>228</v>
      </c>
      <c r="C10" s="3" t="s">
        <v>220</v>
      </c>
      <c r="D10" s="7" t="s">
        <v>229</v>
      </c>
      <c r="E10" s="3" t="s">
        <v>230</v>
      </c>
    </row>
    <row r="11" spans="1:5" ht="54.75" customHeight="1">
      <c r="A11" t="s">
        <v>231</v>
      </c>
      <c r="B11" s="3" t="s">
        <v>232</v>
      </c>
      <c r="C11" s="3" t="s">
        <v>220</v>
      </c>
      <c r="D11" s="7" t="s">
        <v>233</v>
      </c>
      <c r="E11" s="3" t="s">
        <v>234</v>
      </c>
    </row>
  </sheetData>
  <mergeCells count="1">
    <mergeCell ref="A1:E1"/>
  </mergeCells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0"/>
  <sheetViews>
    <sheetView showGridLines="0" workbookViewId="0">
      <pane ySplit="3" topLeftCell="A4" activePane="bottomLeft" state="frozen"/>
      <selection pane="bottomLeft"/>
    </sheetView>
  </sheetViews>
  <sheetFormatPr defaultRowHeight="21.75" customHeight="1"/>
  <cols>
    <col min="1" max="1" width="10.7109375" customWidth="1"/>
    <col min="2" max="2" width="35.7109375" customWidth="1"/>
    <col min="3" max="3" width="42.7109375" customWidth="1"/>
    <col min="4" max="5" width="75.7109375" customWidth="1"/>
    <col min="6" max="6" width="25.7109375" customWidth="1"/>
    <col min="7" max="7" width="70.7109375" customWidth="1"/>
  </cols>
  <sheetData>
    <row r="1" spans="1:7" ht="21.75" customHeight="1">
      <c r="A1" s="1" t="s">
        <v>235</v>
      </c>
      <c r="B1" s="1"/>
      <c r="C1" s="1"/>
      <c r="D1" s="1"/>
      <c r="E1" s="1"/>
      <c r="F1" s="1"/>
      <c r="G1" s="1"/>
    </row>
    <row r="3" spans="1:7" ht="21.75" customHeight="1">
      <c r="A3" s="2" t="s">
        <v>236</v>
      </c>
      <c r="B3" s="2" t="s">
        <v>237</v>
      </c>
      <c r="C3" s="2" t="s">
        <v>238</v>
      </c>
      <c r="D3" s="2" t="s">
        <v>239</v>
      </c>
      <c r="E3" s="2" t="s">
        <v>240</v>
      </c>
      <c r="F3" s="2" t="s">
        <v>69</v>
      </c>
      <c r="G3" s="2" t="s">
        <v>241</v>
      </c>
    </row>
    <row r="4" spans="1:7" ht="75" customHeight="1">
      <c r="A4" t="s">
        <v>242</v>
      </c>
      <c r="B4" s="3" t="s">
        <v>243</v>
      </c>
      <c r="C4" s="3" t="s">
        <v>244</v>
      </c>
      <c r="D4" s="3" t="s">
        <v>245</v>
      </c>
      <c r="E4" s="3" t="s">
        <v>246</v>
      </c>
      <c r="F4" s="3" t="s">
        <v>247</v>
      </c>
      <c r="G4" s="7" t="s">
        <v>248</v>
      </c>
    </row>
    <row r="5" spans="1:7" ht="75" customHeight="1">
      <c r="A5" t="s">
        <v>249</v>
      </c>
      <c r="B5" s="3" t="s">
        <v>250</v>
      </c>
      <c r="C5" s="3" t="s">
        <v>251</v>
      </c>
      <c r="D5" s="3" t="s">
        <v>252</v>
      </c>
      <c r="E5" s="3" t="s">
        <v>253</v>
      </c>
      <c r="F5" s="3" t="s">
        <v>254</v>
      </c>
      <c r="G5" s="7" t="s">
        <v>255</v>
      </c>
    </row>
    <row r="6" spans="1:7" ht="75" customHeight="1">
      <c r="A6" t="s">
        <v>256</v>
      </c>
      <c r="B6" s="3" t="s">
        <v>257</v>
      </c>
      <c r="C6" s="3" t="s">
        <v>251</v>
      </c>
      <c r="D6" s="3" t="s">
        <v>258</v>
      </c>
      <c r="E6" s="3" t="s">
        <v>259</v>
      </c>
      <c r="F6" s="3" t="s">
        <v>178</v>
      </c>
      <c r="G6" s="7" t="s">
        <v>260</v>
      </c>
    </row>
    <row r="7" spans="1:7" ht="75" customHeight="1">
      <c r="A7" t="s">
        <v>261</v>
      </c>
      <c r="B7" s="3" t="s">
        <v>262</v>
      </c>
      <c r="C7" s="3" t="s">
        <v>263</v>
      </c>
      <c r="D7" s="3" t="s">
        <v>264</v>
      </c>
      <c r="E7" s="3" t="s">
        <v>265</v>
      </c>
      <c r="F7" s="3" t="s">
        <v>266</v>
      </c>
      <c r="G7" s="7" t="s">
        <v>267</v>
      </c>
    </row>
    <row r="8" spans="1:7" ht="75" customHeight="1">
      <c r="A8" t="s">
        <v>268</v>
      </c>
      <c r="B8" s="3" t="s">
        <v>269</v>
      </c>
      <c r="C8" s="3" t="s">
        <v>251</v>
      </c>
      <c r="D8" s="3" t="s">
        <v>270</v>
      </c>
      <c r="E8" s="3" t="s">
        <v>271</v>
      </c>
      <c r="F8" s="3" t="s">
        <v>272</v>
      </c>
      <c r="G8" s="7" t="s">
        <v>273</v>
      </c>
    </row>
    <row r="9" spans="1:7" ht="75" customHeight="1">
      <c r="A9" t="s">
        <v>274</v>
      </c>
      <c r="B9" s="3" t="s">
        <v>275</v>
      </c>
      <c r="C9" s="3" t="s">
        <v>276</v>
      </c>
      <c r="D9" s="3" t="s">
        <v>277</v>
      </c>
      <c r="E9" s="3" t="s">
        <v>278</v>
      </c>
      <c r="F9" s="3" t="s">
        <v>279</v>
      </c>
      <c r="G9" s="7" t="s">
        <v>280</v>
      </c>
    </row>
    <row r="10" spans="1:7" ht="75" customHeight="1">
      <c r="A10" t="s">
        <v>281</v>
      </c>
      <c r="B10" s="3" t="s">
        <v>282</v>
      </c>
      <c r="C10" s="3" t="s">
        <v>283</v>
      </c>
      <c r="D10" s="3" t="s">
        <v>284</v>
      </c>
      <c r="E10" s="3" t="s">
        <v>285</v>
      </c>
      <c r="F10" s="3" t="s">
        <v>254</v>
      </c>
      <c r="G10" s="7" t="s">
        <v>286</v>
      </c>
    </row>
    <row r="11" spans="1:7" ht="75" customHeight="1">
      <c r="A11" t="s">
        <v>287</v>
      </c>
      <c r="B11" s="3" t="s">
        <v>288</v>
      </c>
      <c r="C11" s="3" t="s">
        <v>289</v>
      </c>
      <c r="D11" s="3" t="s">
        <v>290</v>
      </c>
      <c r="E11" s="3" t="s">
        <v>291</v>
      </c>
      <c r="F11" s="3" t="s">
        <v>292</v>
      </c>
      <c r="G11" s="7" t="s">
        <v>293</v>
      </c>
    </row>
    <row r="12" spans="1:7" ht="75" customHeight="1">
      <c r="A12" t="s">
        <v>294</v>
      </c>
      <c r="B12" s="3" t="s">
        <v>295</v>
      </c>
      <c r="C12" s="3" t="s">
        <v>296</v>
      </c>
      <c r="D12" s="3" t="s">
        <v>297</v>
      </c>
      <c r="E12" s="3" t="s">
        <v>298</v>
      </c>
      <c r="F12" s="3" t="s">
        <v>178</v>
      </c>
      <c r="G12" s="7" t="s">
        <v>299</v>
      </c>
    </row>
    <row r="13" spans="1:7" ht="75" customHeight="1">
      <c r="A13" t="s">
        <v>300</v>
      </c>
      <c r="B13" s="3" t="s">
        <v>301</v>
      </c>
      <c r="C13" s="3" t="s">
        <v>251</v>
      </c>
      <c r="D13" s="3" t="s">
        <v>302</v>
      </c>
      <c r="E13" s="3" t="s">
        <v>303</v>
      </c>
      <c r="F13" s="3" t="s">
        <v>78</v>
      </c>
      <c r="G13" s="7" t="s">
        <v>304</v>
      </c>
    </row>
    <row r="14" spans="1:7" ht="75" customHeight="1">
      <c r="A14" t="s">
        <v>305</v>
      </c>
      <c r="B14" s="3" t="s">
        <v>306</v>
      </c>
      <c r="C14" s="3" t="s">
        <v>289</v>
      </c>
      <c r="D14" s="3" t="s">
        <v>307</v>
      </c>
      <c r="E14" s="3" t="s">
        <v>308</v>
      </c>
      <c r="F14" s="3" t="s">
        <v>309</v>
      </c>
      <c r="G14" s="7" t="s">
        <v>310</v>
      </c>
    </row>
    <row r="15" spans="1:7" ht="75" customHeight="1">
      <c r="A15" t="s">
        <v>311</v>
      </c>
      <c r="B15" s="3" t="s">
        <v>312</v>
      </c>
      <c r="C15" s="3" t="s">
        <v>251</v>
      </c>
      <c r="D15" s="3" t="s">
        <v>313</v>
      </c>
      <c r="E15" s="3" t="s">
        <v>314</v>
      </c>
      <c r="F15" s="3" t="s">
        <v>315</v>
      </c>
      <c r="G15" s="7" t="s">
        <v>316</v>
      </c>
    </row>
    <row r="16" spans="1:7" ht="75" customHeight="1">
      <c r="A16" t="s">
        <v>317</v>
      </c>
      <c r="B16" s="3" t="s">
        <v>318</v>
      </c>
      <c r="C16" s="3" t="s">
        <v>251</v>
      </c>
      <c r="D16" s="3" t="s">
        <v>319</v>
      </c>
      <c r="E16" s="3" t="s">
        <v>320</v>
      </c>
      <c r="F16" s="3" t="s">
        <v>78</v>
      </c>
      <c r="G16" s="7" t="s">
        <v>321</v>
      </c>
    </row>
    <row r="17" spans="1:7" ht="75" customHeight="1">
      <c r="A17" t="s">
        <v>322</v>
      </c>
      <c r="B17" s="3" t="s">
        <v>323</v>
      </c>
      <c r="C17" s="3" t="s">
        <v>296</v>
      </c>
      <c r="D17" s="3" t="s">
        <v>324</v>
      </c>
      <c r="E17" s="3" t="s">
        <v>325</v>
      </c>
      <c r="F17" s="3" t="s">
        <v>178</v>
      </c>
      <c r="G17" s="7" t="s">
        <v>326</v>
      </c>
    </row>
    <row r="18" spans="1:7" ht="75" customHeight="1">
      <c r="A18" t="s">
        <v>327</v>
      </c>
      <c r="B18" s="3" t="s">
        <v>328</v>
      </c>
      <c r="C18" s="3" t="s">
        <v>251</v>
      </c>
      <c r="D18" s="3" t="s">
        <v>329</v>
      </c>
      <c r="E18" s="3" t="s">
        <v>330</v>
      </c>
      <c r="F18" s="3" t="s">
        <v>331</v>
      </c>
      <c r="G18" s="7" t="s">
        <v>332</v>
      </c>
    </row>
    <row r="19" spans="1:7" ht="75" customHeight="1">
      <c r="A19" t="s">
        <v>333</v>
      </c>
      <c r="B19" s="3" t="s">
        <v>334</v>
      </c>
      <c r="C19" s="3" t="s">
        <v>251</v>
      </c>
      <c r="D19" s="3" t="s">
        <v>335</v>
      </c>
      <c r="E19" s="3" t="s">
        <v>336</v>
      </c>
      <c r="F19" s="3" t="s">
        <v>337</v>
      </c>
      <c r="G19" s="7" t="s">
        <v>338</v>
      </c>
    </row>
    <row r="20" spans="1:7" ht="75" customHeight="1">
      <c r="A20" t="s">
        <v>339</v>
      </c>
      <c r="B20" s="3" t="s">
        <v>340</v>
      </c>
      <c r="C20" s="3" t="s">
        <v>296</v>
      </c>
      <c r="D20" s="3" t="s">
        <v>341</v>
      </c>
      <c r="E20" s="3" t="s">
        <v>342</v>
      </c>
      <c r="F20" s="3" t="s">
        <v>343</v>
      </c>
      <c r="G20" s="7" t="s">
        <v>344</v>
      </c>
    </row>
    <row r="21" spans="1:7" ht="75" customHeight="1">
      <c r="A21" t="s">
        <v>345</v>
      </c>
      <c r="B21" s="3" t="s">
        <v>346</v>
      </c>
      <c r="C21" s="3" t="s">
        <v>296</v>
      </c>
      <c r="D21" s="3" t="s">
        <v>347</v>
      </c>
      <c r="E21" s="3" t="s">
        <v>348</v>
      </c>
      <c r="F21" s="3" t="s">
        <v>178</v>
      </c>
      <c r="G21" s="7" t="s">
        <v>349</v>
      </c>
    </row>
    <row r="22" spans="1:7" ht="75" customHeight="1">
      <c r="A22" t="s">
        <v>350</v>
      </c>
      <c r="B22" s="3" t="s">
        <v>351</v>
      </c>
      <c r="C22" s="3" t="s">
        <v>251</v>
      </c>
      <c r="D22" s="3" t="s">
        <v>352</v>
      </c>
      <c r="E22" s="3" t="s">
        <v>353</v>
      </c>
      <c r="F22" s="3" t="s">
        <v>178</v>
      </c>
      <c r="G22" s="7" t="s">
        <v>354</v>
      </c>
    </row>
    <row r="23" spans="1:7" ht="75" customHeight="1">
      <c r="A23" t="s">
        <v>355</v>
      </c>
      <c r="B23" s="3" t="s">
        <v>356</v>
      </c>
      <c r="C23" s="3" t="s">
        <v>296</v>
      </c>
      <c r="D23" s="3" t="s">
        <v>357</v>
      </c>
      <c r="E23" s="3" t="s">
        <v>358</v>
      </c>
      <c r="F23" s="3" t="s">
        <v>359</v>
      </c>
      <c r="G23" s="7" t="s">
        <v>360</v>
      </c>
    </row>
    <row r="24" spans="1:7" ht="75" customHeight="1">
      <c r="A24" t="s">
        <v>361</v>
      </c>
      <c r="B24" s="3" t="s">
        <v>362</v>
      </c>
      <c r="C24" s="3" t="s">
        <v>296</v>
      </c>
      <c r="D24" s="3" t="s">
        <v>363</v>
      </c>
      <c r="E24" s="3" t="s">
        <v>364</v>
      </c>
      <c r="F24" s="3" t="s">
        <v>365</v>
      </c>
      <c r="G24" s="7" t="s">
        <v>366</v>
      </c>
    </row>
    <row r="25" spans="1:7" ht="75" customHeight="1">
      <c r="A25" t="s">
        <v>367</v>
      </c>
      <c r="B25" s="3" t="s">
        <v>368</v>
      </c>
      <c r="C25" s="3" t="s">
        <v>289</v>
      </c>
      <c r="D25" s="3" t="s">
        <v>369</v>
      </c>
      <c r="E25" s="3" t="s">
        <v>370</v>
      </c>
      <c r="F25" s="3" t="s">
        <v>78</v>
      </c>
      <c r="G25" s="7" t="s">
        <v>371</v>
      </c>
    </row>
    <row r="26" spans="1:7" ht="75" customHeight="1">
      <c r="A26" t="s">
        <v>372</v>
      </c>
      <c r="B26" s="3" t="s">
        <v>373</v>
      </c>
      <c r="C26" s="3" t="s">
        <v>296</v>
      </c>
      <c r="D26" s="3" t="s">
        <v>374</v>
      </c>
      <c r="E26" s="3" t="s">
        <v>375</v>
      </c>
      <c r="F26" s="3" t="s">
        <v>376</v>
      </c>
      <c r="G26" s="7" t="s">
        <v>377</v>
      </c>
    </row>
    <row r="27" spans="1:7" ht="75" customHeight="1">
      <c r="A27" t="s">
        <v>378</v>
      </c>
      <c r="B27" s="3" t="s">
        <v>379</v>
      </c>
      <c r="C27" s="3" t="s">
        <v>251</v>
      </c>
      <c r="D27" s="3" t="s">
        <v>380</v>
      </c>
      <c r="E27" s="3" t="s">
        <v>381</v>
      </c>
      <c r="F27" s="3" t="s">
        <v>178</v>
      </c>
      <c r="G27" s="7" t="s">
        <v>382</v>
      </c>
    </row>
    <row r="28" spans="1:7" ht="75" customHeight="1">
      <c r="A28" t="s">
        <v>383</v>
      </c>
      <c r="B28" s="3" t="s">
        <v>384</v>
      </c>
      <c r="C28" s="3" t="s">
        <v>385</v>
      </c>
      <c r="D28" s="3" t="s">
        <v>386</v>
      </c>
      <c r="E28" s="3" t="s">
        <v>387</v>
      </c>
      <c r="F28" s="3" t="s">
        <v>388</v>
      </c>
      <c r="G28" s="7" t="s">
        <v>389</v>
      </c>
    </row>
    <row r="29" spans="1:7" ht="75" customHeight="1">
      <c r="A29" t="s">
        <v>390</v>
      </c>
      <c r="B29" s="3" t="s">
        <v>391</v>
      </c>
      <c r="C29" s="3" t="s">
        <v>251</v>
      </c>
      <c r="D29" s="3" t="s">
        <v>392</v>
      </c>
      <c r="E29" s="3" t="s">
        <v>393</v>
      </c>
      <c r="F29" s="3" t="s">
        <v>178</v>
      </c>
      <c r="G29" s="7" t="s">
        <v>394</v>
      </c>
    </row>
    <row r="30" spans="1:7" ht="75" customHeight="1">
      <c r="A30" t="s">
        <v>395</v>
      </c>
      <c r="B30" s="3" t="s">
        <v>396</v>
      </c>
      <c r="C30" s="3" t="s">
        <v>397</v>
      </c>
      <c r="D30" s="3" t="s">
        <v>398</v>
      </c>
      <c r="E30" s="3" t="s">
        <v>399</v>
      </c>
      <c r="F30" s="3" t="s">
        <v>254</v>
      </c>
      <c r="G30" s="7" t="s">
        <v>400</v>
      </c>
    </row>
  </sheetData>
  <autoFilter ref="A3:G30"/>
  <mergeCells count="1">
    <mergeCell ref="A1:G1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  <hyperlink ref="G23" r:id="rId20"/>
    <hyperlink ref="G24" r:id="rId21"/>
    <hyperlink ref="G25" r:id="rId22"/>
    <hyperlink ref="G26" r:id="rId23"/>
    <hyperlink ref="G27" r:id="rId24"/>
    <hyperlink ref="G28" r:id="rId25"/>
    <hyperlink ref="G29" r:id="rId26"/>
    <hyperlink ref="G30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Comparativo</vt:lpstr>
      <vt:lpstr>Materialidade</vt:lpstr>
      <vt:lpstr>Riscos</vt:lpstr>
      <vt:lpstr>Testes</vt:lpstr>
      <vt:lpstr>Fontes</vt:lpstr>
      <vt:lpstr>Cobertura NBC 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2026-10-25T22:26:58Z</dcterms:created>
  <dcterms:modified xsi:type="dcterms:W3CDTF">2026-10-25T22:26:58Z</dcterms:modified>
</cp:coreProperties>
</file>